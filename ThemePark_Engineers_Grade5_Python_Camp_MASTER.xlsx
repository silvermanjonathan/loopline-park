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cope &amp; Sequence" sheetId="2" state="visible" r:id="rId4"/>
    <sheet name="Daily Block Plan" sheetId="3" state="visible" r:id="rId5"/>
    <sheet name="Standards Alignment" sheetId="4" state="visible" r:id="rId6"/>
    <sheet name="Misconceptions" sheetId="5" state="visible" r:id="rId7"/>
    <sheet name="Assessmen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<sst xmlns="http://schemas.openxmlformats.org/spreadsheetml/2006/main" count="514" uniqueCount="406">
  <si>
    <t xml:space="preserve">Theme Park Engineers - Grade 5 Python Camp</t>
  </si>
  <si>
    <t xml:space="preserve">A one-week intensive (Monday-Friday, 1:00-4:00 pm) adapted from the 16-session Grade 5 Introductory Python scope &amp; sequence, mapped to the 2026 CSTA PK-12 Computer Science Standards.</t>
  </si>
  <si>
    <t xml:space="preserve">THE PREMISE</t>
  </si>
  <si>
    <t xml:space="preserve">Campers are the new junior engineering crew at Loopline Park, a (fictional) theme park. Every program they write all week is something the park 'needs': the entrance marquee, the ticket booth, ride blueprints, safety gates, the midway game, the prize wheel, and finally an attraction of their own design, unveiled at Friday's Grand Opening. The theme is a wrapper - the underlying concept sequence, misconceptions, and standards mapping are unchanged from the source scope &amp; sequence.</t>
  </si>
  <si>
    <t xml:space="preserve">EDITABLE ASSUMPTIONS</t>
  </si>
  <si>
    <t xml:space="preserve">Cells in yellow with blue text are yours to change.</t>
  </si>
  <si>
    <t xml:space="preserve">Parameter</t>
  </si>
  <si>
    <t xml:space="preserve">Value</t>
  </si>
  <si>
    <t xml:space="preserve">Camp days</t>
  </si>
  <si>
    <t xml:space="preserve">Scheduled minutes per day (1:00-4:00)</t>
  </si>
  <si>
    <t xml:space="preserve">Break + transition minutes per day</t>
  </si>
  <si>
    <t xml:space="preserve">Instructional minutes per day</t>
  </si>
  <si>
    <t xml:space="preserve">Students per section</t>
  </si>
  <si>
    <t xml:space="preserve">WHAT THIS IS</t>
  </si>
  <si>
    <t xml:space="preserve">A camp adaptation of a first text-based programming course for grade 5 (ages 10-11). It assumes prior block-based experience (Scratch or similar) but no text-based coding.</t>
  </si>
  <si>
    <t xml:space="preserve">The sequence is turtle-first: iteration is taught through turtle graphics because the visual feedback makes an abstract construct concrete, and the polygon arithmetic (360 / sides) reinforces grade-5 geometry. Console I/O carries the conditionals and lists work. In camp terms: turtle drawings are 'ride blueprints,' console programs are 'park operations.'</t>
  </si>
  <si>
    <t xml:space="preserve">The original course delivers 800 instructional minutes across 16 weekly sessions. This camp delivers 750 instructional minutes across 5 consecutive afternoons (150/day after breaks and transitions), plus the Friday showcase. Coverage is equivalent; retention is not - see the pacing caution below.</t>
  </si>
  <si>
    <t xml:space="preserve">HOW TO USE IT</t>
  </si>
  <si>
    <t xml:space="preserve">Scope &amp; Sequence - the day-level planning grid. One row per day. Start here.</t>
  </si>
  <si>
    <t xml:space="preserve">Daily Block Plan - the afternoon broken into timed blocks: Park Briefing (launch), two Build Blocks, Test Ride (share/debrief), and the Maintenance Log (exit ticket).</t>
  </si>
  <si>
    <t xml:space="preserve">Standards Alignment - CSTA 2026 grade-5 codes with day counts that update automatically.</t>
  </si>
  <si>
    <t xml:space="preserve">Misconceptions - the predictable failure points in camp costume, and the diagnostic move for each.</t>
  </si>
  <si>
    <t xml:space="preserve">Assessment - daily exit tickets, the Grand Opening rubric, and what is deliberately not assessed.</t>
  </si>
  <si>
    <t xml:space="preserve">SCOPE DECISIONS WORTH KNOWING (unchanged from the source course)</t>
  </si>
  <si>
    <t xml:space="preserve">return values are deliberately excluded. Functions are introduced as named, reusable procedures only. Students who reach for return are supported individually, not taught it whole-class.</t>
  </si>
  <si>
    <t xml:space="preserve">while loops are excluded. Infinite loops cost more instructional time than the construct is worth at this level, and every grade-5 use case is served by for with range().</t>
  </si>
  <si>
    <t xml:space="preserve">Dictionaries, classes, file I/O, and exception handling are out of scope entirely.</t>
  </si>
  <si>
    <t xml:space="preserve">No machine-learning block: earlier drafts included one, but it was removed when the coaster became the capstone; the camp claims no ALG-ML standards. The Standards Alignment tab lists everything the camp deliberately does not cover.</t>
  </si>
  <si>
    <t xml:space="preserve">pygame is the one third-party package (pip install pygame). It draws the Day-3 coaster at 60 frames a second; on managed machines the install can need an IT ticket, so verify it on real camp hardware by Tuesday. The turtle edition of the coaster needs no install and is the full fallback.</t>
  </si>
  <si>
    <t xml:space="preserve">PACING CAUTION FOR THE CAMP FORMAT</t>
  </si>
  <si>
    <t xml:space="preserve">Compression trades spaced practice for momentum. A weekly course gets fifteen nights of sleep between iteration and functions; this camp gets two. Expect Day 3 (functions) to feel earlier than it 'should.' The 15-minute Park Briefing each day is not a warm-up filler - it is the replacement for spaced retrieval, and every briefing re-traces the previous day's build. Do not cut it to buy build time.</t>
  </si>
  <si>
    <t xml:space="preserve">Three hours is long for ten-year-olds. The schedule assumes a real 15-minute break and a change of activity mode roughly every 25-30 minutes within blocks (unplugged, typed, shared). Friday is the tightest day; the pressure valve is the nested-loop exploration on Tuesday, which can be shortened to bank 15 minutes of capstone planning into Thursday's close.</t>
  </si>
  <si>
    <t xml:space="preserve">SOURCE AND VERIFICATION</t>
  </si>
  <si>
    <t xml:space="preserve">Standards: Computer Science Teachers Association. (2026). 2026 CSTA PK-12 computer science standards. https://csteachers.org/pk12standards/</t>
  </si>
  <si>
    <t xml:space="preserve">The four codes marked Verified on the Standards Alignment tab were read directly from the published PDF (carried over from the source scope &amp; sequence).</t>
  </si>
  <si>
    <t xml:space="preserve">The Programming (PRO) codes are marked Needs verification. The subconcepts and the grade-5 progression language are confirmed, but the two-digit identifiers were not readable in the source retrieved. Confirm them at https://csteachers.org/pk12standards/view before distributing this document.</t>
  </si>
  <si>
    <t xml:space="preserve">CSTA assumes roughly 20-40 hours of CS instruction per year across grades PK-5. This camp consumes part of that envelope, not all of it.</t>
  </si>
  <si>
    <t xml:space="preserve">The standards are licensed CC BY-NC-SA 4.0, so adapting them into a document like this is permitted with attribution and non-commercial use. This document is mapped to the 2026 CSTA standards; it is not CSTA-reviewed or CSTA-approved.</t>
  </si>
  <si>
    <t xml:space="preserve">Scope &amp; Sequence - Theme Park Engineers (Grade 5 Python Camp, Mon-Fri 1:00-4:00)</t>
  </si>
  <si>
    <t xml:space="preserve">Day</t>
  </si>
  <si>
    <t xml:space="preserve">Day Title</t>
  </si>
  <si>
    <t xml:space="preserve">When</t>
  </si>
  <si>
    <t xml:space="preserve">Instructional Minutes</t>
  </si>
  <si>
    <t xml:space="preserve">Essential Question</t>
  </si>
  <si>
    <t xml:space="preserve">Learning Objectives (students will be able to...)</t>
  </si>
  <si>
    <t xml:space="preserve">Python Introduced</t>
  </si>
  <si>
    <t xml:space="preserve">Anchor Artifact</t>
  </si>
  <si>
    <t xml:space="preserve">CSTA 2026 (Grade 5)</t>
  </si>
  <si>
    <t xml:space="preserve">Formative Check</t>
  </si>
  <si>
    <t xml:space="preserve">Misconception to Preempt</t>
  </si>
  <si>
    <t xml:space="preserve">Opening the Gates - Output, Variables, Input &amp; Loops</t>
  </si>
  <si>
    <t xml:space="preserve">Monday 1:00-4:00</t>
  </si>
  <si>
    <t xml:space="preserve">How do I make a computer do exactly what I say - and repeat it without repeating myself?</t>
  </si>
  <si>
    <t xml:space="preserve">Run a Python program and read its output; identify a syntax error from a traceback and correct it; assign and reassign variables with meaningful names; retrieve typed input and convert it with int(); build an f-string receipt; use a for loop with range() to repeat drawing steps; calculate any polygon's turn angle as 360/sides. Name a block of code with def and call it by its name.</t>
  </si>
  <si>
    <t xml:space="preserve">print(), strings, comments (#), variables, input(), int(), f-strings, turtle, for, range(), def + calling it (no parameters)</t>
  </si>
  <si>
    <t xml:space="preserve">Park marquee + Ticket Booth greeter + polygon coaster track drawn with a loop</t>
  </si>
  <si>
    <t xml:space="preserve">PRO-PD; PRO-TR; PRO-VD; ALG-PS-01</t>
  </si>
  <si>
    <t xml:space="preserve">Cold-call: predict the output before running. Trace table for the ticket-price program. Class track-geometry chart (360/sides). Run the defined-but-never-called marquee and sit with the silence.</t>
  </si>
  <si>
    <t xml:space="preserve">Believing the computer infers intent. Reading = as 'equals' rather than 'gets'. Believing the loop body runs once. Using the interior angle instead of 360/sides. Defining is calling - the silent marquee is the first diagnosis.</t>
  </si>
  <si>
    <t xml:space="preserve">Safety Gates &amp; the Midway - Selection, Lists &amp; the Toolbox</t>
  </si>
  <si>
    <t xml:space="preserve">Tuesday 1:00-4:00</t>
  </si>
  <si>
    <t xml:space="preserve">How does a program decide, remember, surprise - and stamp?</t>
  </si>
  <si>
    <t xml:space="preserve">Write conditions using comparison operators; branch with if / elif / else; explain why only one branch executes; create a list and pick items out by index; select a random element with random.choice(); refactor copied code into a single function and pass a parameter to change its behavior (deepening Monday's def)</t>
  </si>
  <si>
    <t xml:space="preserve">if / elif / else, ==, &lt;, &gt;, booleans, lists, indexing, len(), random.choice(), def, parameters</t>
  </si>
  <si>
    <t xml:space="preserve">Ride safety gate + printed park map + prize-wheel spin + draw_wheel(spokes) blueprint stamp</t>
  </si>
  <si>
    <t xml:space="preserve">ALG-PS-01; PRO-PD; PRO-VD; PRO-RD</t>
  </si>
  <si>
    <t xml:space="preserve">Sort 'tall enough to ride?' scenario cards into True/False before coding. Index hunt on the ride roster. Run the defined-but-never-called function and sit with the silence. Test Ride: Class Cards 01-03 - the track-list preview, the sqrt ladder, and the no-wheels ramp.</t>
  </si>
  <si>
    <t xml:space="preserve">Confusing = with ==. Lists start at 1 - label the first queue spot 0 and let the discomfort sit. Defining is calling - the silent run is the diagnosis.</t>
  </si>
  <si>
    <t xml:space="preserve">The Coaster Build - Capstone</t>
  </si>
  <si>
    <t xml:space="preserve">Wednesday 1:00-4:00</t>
  </si>
  <si>
    <t xml:space="preserve">Can I plan, build, and soft-launch a ride of my own - and where does a roller coaster's speed come from?</t>
  </si>
  <si>
    <t xml:space="preserve">Trace a live simulation against a track list using the on-screen dashboard; design a coaster track that completes (first hill tallest, ends at 0) and revise it with a goal; build an Operator's Booth with sequence, a loop, and a decision that selects the track; narrate the three physics lines at a one-partner soft launch; read a traceback and debug independently during the build. Organize the booth's welcome and ride list into a named show_menu() function.</t>
  </si>
  <si>
    <t xml:space="preserve">None new - the pygame coaster engine is provided read-only (math.sqrt, the track list, and the position line all previewed on Day 2); student-selected review</t>
  </si>
  <si>
    <t xml:space="preserve">Operator's Booth + student-designed coaster track (Version 1 -&gt; Version 2), soft-launched for one guest</t>
  </si>
  <si>
    <t xml:space="preserve">ALG-PS-01; PRO-PD; PRO-VD; PRO-RD; PRO-TR</t>
  </si>
  <si>
    <t xml:space="preserve">Blueprint approved before any code - a new track list alone is not a capstone. Ride Log Grid A checked live against the dashboard. Soft-launch diagnosis on the Maintenance slip.</t>
  </si>
  <si>
    <t xml:space="preserve">Believing a new track list alone is a capstone - the booth is the program, the coaster is the finale. Scope creep - cap it: one screen, one loop, one decision.</t>
  </si>
  <si>
    <t xml:space="preserve">Expansion Day - Fix, Upgrade, Prove</t>
  </si>
  <si>
    <t xml:space="preserve">Thursday 1:00-4:00</t>
  </si>
  <si>
    <t xml:space="preserve">Can I repair my own build - and make it better than it was?</t>
  </si>
  <si>
    <t xml:space="preserve">Independently diagnose and fix errors in their own program by reading the error first; ship one tested upgrade with a what-changed-and-why note; verify their own track against the live dashboard on Ride Log Grid B Refactor a working program into named functions without changing its behavior (the Tidy Booth).</t>
  </si>
  <si>
    <t xml:space="preserve">None new - repair and refinement; stretch: a friction term in the drop line, a random.choice mystery track, the Tidy Booth refactor</t>
  </si>
  <si>
    <t xml:space="preserve">The repaired ride + one shipped upgrade (Version 3) + completed Ride Log Grid B</t>
  </si>
  <si>
    <t xml:space="preserve">PRO-TR; PRO-PD; PRO-VD</t>
  </si>
  <si>
    <t xml:space="preserve">Debugging log collected at the clinic. Grid B checked against the camper's own list. Upgrade note names the change and the goal.</t>
  </si>
  <si>
    <t xml:space="preserve">Believing stuck means failure - Thursday-morning stuck is why Expansion Day exists. Fixing without reading the error.</t>
  </si>
  <si>
    <t xml:space="preserve">Grand Opening - Inspect, Rehearse, Present</t>
  </si>
  <si>
    <t xml:space="preserve">Friday 1:00-4:00</t>
  </si>
  <si>
    <t xml:space="preserve">Can I present my ride, narrate its physics, and name who it's for?</t>
  </si>
  <si>
    <t xml:space="preserve">Run a final opening-day inspection; present a live walkthrough narrating the three physics lines on their own track; articulate one human-centered design choice and who it serves or excludes</t>
  </si>
  <si>
    <t xml:space="preserve">None new - inspection and presentation</t>
  </si>
  <si>
    <t xml:space="preserve">The finished attraction + Grand Opening walkthrough + reflection slip</t>
  </si>
  <si>
    <t xml:space="preserve">PRO-RD; ALG-IM-03; SYS-SE-13</t>
  </si>
  <si>
    <t xml:space="preserve">Opening-day inspection checklist passed; reflection slip collected at the walkthrough.</t>
  </si>
  <si>
    <t xml:space="preserve">Believing the presentation is about perfection - it's about narration: can you say what each line does, and what you'd fix next?</t>
  </si>
  <si>
    <t xml:space="preserve">TOTAL</t>
  </si>
  <si>
    <t xml:space="preserve">Total instructional contact hours</t>
  </si>
  <si>
    <t xml:space="preserve">Scheduled time is 900 minutes (5 x 180); the difference is breaks, transitions, and the Friday showcase overhead. CSTA assumes ~20-40 hours of CS per year across PK-5; this camp is one component of that, not the whole allocation.</t>
  </si>
  <si>
    <t xml:space="preserve">Daily Block Plan - each afternoon runs Park Briefing &gt; Build Block A &gt; Fast-Pass Break &gt; Build Block B &gt; Test Ride &gt; Maintenance Log</t>
  </si>
  <si>
    <t xml:space="preserve">Time</t>
  </si>
  <si>
    <t xml:space="preserve">Block</t>
  </si>
  <si>
    <t xml:space="preserve">Focus</t>
  </si>
  <si>
    <t xml:space="preserve">What Happens</t>
  </si>
  <si>
    <t xml:space="preserve">Check / Exit Ticket</t>
  </si>
  <si>
    <t xml:space="preserve">Materials &amp; Setup</t>
  </si>
  <si>
    <t xml:space="preserve">1:00-1:15</t>
  </si>
  <si>
    <t xml:space="preserve">Park Briefing</t>
  </si>
  <si>
    <t xml:space="preserve">First program + robot walk</t>
  </si>
  <si>
    <t xml:space="preserve">Welcome to the crew: campers are Loopline Park's new junior engineers. Show three short programs; ask which will run and why. Establish the week's rule: the computer does not guess. Then the robot walk: students direct the teacher around a square coaster track taped on the floor - count the instructions.</t>
  </si>
  <si>
    <t xml:space="preserve">Thumbs vote on each program; how many instructions did the square take?</t>
  </si>
  <si>
    <t xml:space="preserve">Editor accounts pre-created and tested; floor tape for the track; crew badges (optional)</t>
  </si>
  <si>
    <t xml:space="preserve">1:15-2:10</t>
  </si>
  <si>
    <t xml:space="preserve">Build Block A</t>
  </si>
  <si>
    <t xml:space="preserve">print(), tracebacks &amp; variables</t>
  </si>
  <si>
    <t xml:space="preserve">Type and run a print() greeting for the park gate. Break it on purpose (drop a quote, misspell print), read the traceback last line first, fix it. Build the marquee with comments. Then the labeled-box demo: assign three variables, print, reassign one, print again - = means gets.</t>
  </si>
  <si>
    <t xml:space="preserve">Collect the error messages seen; after price = 20 then price = 15, what does price hold?</t>
  </si>
  <si>
    <t xml:space="preserve">Printed traceback reference card; trace-table handout</t>
  </si>
  <si>
    <t xml:space="preserve">2:10-2:25</t>
  </si>
  <si>
    <t xml:space="preserve">Fast-Pass Break</t>
  </si>
  <si>
    <t xml:space="preserve">-</t>
  </si>
  <si>
    <t xml:space="preserve">Movement break, away from screens.</t>
  </si>
  <si>
    <t xml:space="preserve">2:25-3:25</t>
  </si>
  <si>
    <t xml:space="preserve">Build Block B</t>
  </si>
  <si>
    <t xml:space="preserve">input(), int(), f-strings - then the turtle + def</t>
  </si>
  <si>
    <t xml:space="preserve">The Ticket Booth: greet the guest, ask tickets, hit the '2' + '3' bug, convert at the door with int(), print the f-string receipt. Then the drafting turtle: draw the square track the long way (eight lines), count the copies, rewrite with for and range(), and unlock any polygon with 360 / sides. Close with def: the marquee wrapped in show_marquee(), called twice - run the silent no-call version first and name what happened.</t>
  </si>
  <si>
    <t xml:space="preserve">Trace table for the ticket program. What angle for an octagon track? What are the two steps to using a stamp?</t>
  </si>
  <si>
    <t xml:space="preserve">Ticket-price sign; turtle command reference; sides/angle chart poster</t>
  </si>
  <si>
    <t xml:space="preserve">3:25-3:50</t>
  </si>
  <si>
    <t xml:space="preserve">Test Ride</t>
  </si>
  <si>
    <t xml:space="preserve">Share &amp; debrief</t>
  </si>
  <si>
    <t xml:space="preserve">Gallery walk of marquees and polygon tracks on the projector. Two volunteers run their Ticket Booth live with a classmate as the guest. Each camper names their track's sides and its 360/sides angle.</t>
  </si>
  <si>
    <t xml:space="preserve">Ask the room: what does the # symbol do - and why 360 / sides?</t>
  </si>
  <si>
    <t xml:space="preserve">Projector rotation list</t>
  </si>
  <si>
    <t xml:space="preserve">3:50-4:00</t>
  </si>
  <si>
    <t xml:space="preserve">Maintenance Log</t>
  </si>
  <si>
    <t xml:space="preserve">Exit ticket</t>
  </si>
  <si>
    <t xml:space="preserve">Two questions on paper: after price = 20 then price = 15, what does price hold? What angle does the turtle turn for an octagon?</t>
  </si>
  <si>
    <t xml:space="preserve">Sorted into reteach / go piles before Tuesday.</t>
  </si>
  <si>
    <t xml:space="preserve">Paper slips</t>
  </si>
  <si>
    <t xml:space="preserve">2</t>
  </si>
  <si>
    <t xml:space="preserve">Re-trace + card sort</t>
  </si>
  <si>
    <t xml:space="preserve">Re-trace Monday: one volunteer narrates the square-track loop pass by pass. Then sort 'tall enough to ride?' scenario cards into True/False.</t>
  </si>
  <si>
    <t xml:space="preserve">Read each condition aloud as a question: 'is height over 48?'</t>
  </si>
  <si>
    <t xml:space="preserve">Scenario cards</t>
  </si>
  <si>
    <t xml:space="preserve">if / elif / else + the prize wheel</t>
  </si>
  <si>
    <t xml:space="preserve">Build the Ride Safety Gate: if/else on a height check, then elif for three bands. Then the Prize Wheel: random.choice() on a camper-written prize list - chance vs index, two hands reaching for the same shelf.</t>
  </si>
  <si>
    <t xml:space="preserve">Why did only one branch print? What does random.choice() hand back - the item or its number?</t>
  </si>
  <si>
    <t xml:space="preserve">Height-check starter file; == vs = color-coded card; random module cheat sheet</t>
  </si>
  <si>
    <t xml:space="preserve">Movement break.</t>
  </si>
  <si>
    <t xml:space="preserve">Lists, then def &amp; parameters</t>
  </si>
  <si>
    <t xml:space="preserve">Build the ride roster and print the park map by looping the shelf. Then def: wrap the copied triangle-support block into draw_support(), run it, sit with the silence, then call it twice. Finish with draw_wheel(spokes) - one stamp, any wheel. Short build: roster + map + gate + one lucky spin.</t>
  </si>
  <si>
    <t xml:space="preserve">Why does the last index beat len()? What broke when we forgot to call it?</t>
  </si>
  <si>
    <t xml:space="preserve">Class Card 01 printed; refactor worksheet</t>
  </si>
  <si>
    <t xml:space="preserve">Tomorrow's engine</t>
  </si>
  <si>
    <t xml:space="preserve">Two whole-class experiments from Class Cards 02-03: the sqrt ladder (44 / 63 / 89 / 99 mph vs Fury 325's real 95) and the no-wheels ramp - fourteen growing steps with nothing saying 'speed up', then delete the shove and sit with fourteen zeros.</t>
  </si>
  <si>
    <t xml:space="preserve">What makes each step bigger than the last? What did deleting the shove do?</t>
  </si>
  <si>
    <t xml:space="preserve">Class Cards 02-03 printed</t>
  </si>
  <si>
    <t xml:space="preserve">Write the condition for 'height is over 48'. What are the two steps to using a stamp?</t>
  </si>
  <si>
    <t xml:space="preserve">Reteach flags: = where == belongs; 'defining is calling' answers.</t>
  </si>
  <si>
    <t xml:space="preserve">3</t>
  </si>
  <si>
    <t xml:space="preserve">Re-trace + first ride</t>
  </si>
  <si>
    <t xml:space="preserve">Re-trace Tuesday: what does the sqrt line print for drop = 80? Frame the day: today the park gets its headliner. Projector run of the finished coaster once, no code shown yet.</t>
  </si>
  <si>
    <t xml:space="preserve">Predict the top speed before the projector run.</t>
  </si>
  <si>
    <t xml:space="preserve">Projector; coaster.py tested on the teacher machine</t>
  </si>
  <si>
    <t xml:space="preserve">The engine &amp; the Ride Log</t>
  </si>
  <si>
    <t xml:space="preserve">Assemble the engine in five staged runs from the Day 3 page: Stage 1 rails from the list (change a number, zero drawing edits); Stage 2 place the train (position 70 - HEIGHT 27, Tuesday's card live); Stage 3 first motion - it fails on purpose, parked at SPEED 0 (Tuesday's ramp silence on a real screen; diagnose before revealing); Stage 4 the chain's shove - the full ride, 19 seconds, 70 mph; Stage 5 the inspector completes the engine. Then the hinge: commit to the 55-meter answer, then run that track in your own engine and watch it come true. Ride Log Grid A: towers 3, 9, 13 minimum.</t>
  </si>
  <si>
    <t xml:space="preserve">Grid A collected (three towers minimum). Hinge answered and run before design.</t>
  </si>
  <si>
    <t xml:space="preserve">Printed Ride Logs; pygame verified on camp hardware by Tuesday, or run the week on the turtle edition</t>
  </si>
  <si>
    <t xml:space="preserve">2:10-2:20</t>
  </si>
  <si>
    <t xml:space="preserve">Short break.</t>
  </si>
  <si>
    <t xml:space="preserve">2:20-2:45</t>
  </si>
  <si>
    <t xml:space="preserve">Build Block B1</t>
  </si>
  <si>
    <t xml:space="preserve">Capstone blueprint</t>
  </si>
  <si>
    <t xml:space="preserve">Design the Operator's Booth: a visual blueprint with sequence, one loop, one decision that chooses the track, and named variables. Approval gate: a new track list alone is not a capstone. Every blueprint box gets a stamp-name; the booth's welcome and menu ship as def show_menu().</t>
  </si>
  <si>
    <t xml:space="preserve">Blueprint approved and signed.</t>
  </si>
  <si>
    <t xml:space="preserve">Blueprint template; Track Design Card on the Coaster Lab page</t>
  </si>
  <si>
    <t xml:space="preserve">2:45-3:30</t>
  </si>
  <si>
    <t xml:space="preserve">Build Block B2</t>
  </si>
  <si>
    <t xml:space="preserve">Capstone build &amp; debug</t>
  </si>
  <si>
    <t xml:space="preserve">Build the booth above the engine; delete the engine's own track line - the booth chooses now. Design a track that completes (first hill tallest, ends at 0). Working Version 1 into a comment before any Version 2 experiment.</t>
  </si>
  <si>
    <t xml:space="preserve">V1/V2 note on the Ride Log. Debugging log begun (collected Thursday).</t>
  </si>
  <si>
    <t xml:space="preserve">Debug protocol poster</t>
  </si>
  <si>
    <t xml:space="preserve">3:30-3:55</t>
  </si>
  <si>
    <t xml:space="preserve">SOFT LAUNCH</t>
  </si>
  <si>
    <t xml:space="preserve">One-partner safety inspection: run the booth live with the partner as guest; narrate the three physics lines on your own track.</t>
  </si>
  <si>
    <t xml:space="preserve">Maintenance slip: what needs fixing tomorrow morning?</t>
  </si>
  <si>
    <t xml:space="preserve">Inspection pairing list</t>
  </si>
  <si>
    <t xml:space="preserve">3:55-4:00</t>
  </si>
  <si>
    <t xml:space="preserve">One line: the first thing you will fix tomorrow, and the first line you will read to fix it.</t>
  </si>
  <si>
    <t xml:space="preserve">4</t>
  </si>
  <si>
    <t xml:space="preserve">Triage</t>
  </si>
  <si>
    <t xml:space="preserve">Run yesterday's build exactly as you left it. Three lanes on the board: RUNNING / RUNS-BUT-WRONG / STUCK. Being in STUCK this morning is why Expansion Day exists - the ribbon isn't until Friday.</t>
  </si>
  <si>
    <t xml:space="preserve">Every name in a lane.</t>
  </si>
  <si>
    <t xml:space="preserve">Triage board; lane cards</t>
  </si>
  <si>
    <t xml:space="preserve">Fix-It Clinic</t>
  </si>
  <si>
    <t xml:space="preserve">Pair debugging: one drives, the partner reads the traceback aloud, last line first. Nobody touches a keyboard that is not theirs. Teacher floats to STUCK first.</t>
  </si>
  <si>
    <t xml:space="preserve">Debugging log collected at the end of the block.</t>
  </si>
  <si>
    <t xml:space="preserve">Debug protocol poster; the week's traceback reference cards</t>
  </si>
  <si>
    <t xml:space="preserve">2:25-3:00</t>
  </si>
  <si>
    <t xml:space="preserve">Stretch Garage</t>
  </si>
  <si>
    <t xml:space="preserve">Every camper picks one upgrade: friction in the drop line (tune 0.01 toward 0.08 to make a 99 m build land on Fury 325s real 95 mph), the random.choice mystery track, a second booth decision, the Tidy Booth refactor (repeated lines into a named function - behavior unchanged is the proof), or a track redesign with a goal (Version 3). Working version into a comment first.</t>
  </si>
  <si>
    <t xml:space="preserve">Upgrade chosen and started; working copy protected in a comment.</t>
  </si>
  <si>
    <t xml:space="preserve">Coaster Lab page open for the stretch numbers</t>
  </si>
  <si>
    <t xml:space="preserve">3:00-3:30</t>
  </si>
  <si>
    <t xml:space="preserve">Grid B + the upgrade note</t>
  </si>
  <si>
    <t xml:space="preserve">Ride Log Grid B on the camper's own track: five towers circled, heights pre-filled from their list, TIME and SPEED caught live. Then the upgrade note: what changed and why - 'Raised the third hill to 40 so the middle stops dragging.'</t>
  </si>
  <si>
    <t xml:space="preserve">Grid B matches the list at five towers. Note names the change and the goal.</t>
  </si>
  <si>
    <t xml:space="preserve">Ride Logs (Grid B side)</t>
  </si>
  <si>
    <t xml:space="preserve">Upgrade showcase</t>
  </si>
  <si>
    <t xml:space="preserve">Quick rotation: each camper shows one shipped upgrade and the Grid B row that proves their ride does what they say it does.</t>
  </si>
  <si>
    <t xml:space="preserve">Grid B and the upgrade note collected.</t>
  </si>
  <si>
    <t xml:space="preserve">Rotation timer</t>
  </si>
  <si>
    <t xml:space="preserve">One line: what will you polish for Friday, and which of the three opening-day checks worries you most?</t>
  </si>
  <si>
    <t xml:space="preserve">5</t>
  </si>
  <si>
    <t xml:space="preserve">Opening-day inspection</t>
  </si>
  <si>
    <t xml:space="preserve">Run the final version once, exactly as it will run at 3:25. Three checks: completes (no banner), survives a strange answer, and you can say the three physics lines without looking.</t>
  </si>
  <si>
    <t xml:space="preserve">Checklist marked; anyone failing a check goes to the clinic corner.</t>
  </si>
  <si>
    <t xml:space="preserve">Inspection checklist on the board</t>
  </si>
  <si>
    <t xml:space="preserve">Polish + clinic corner</t>
  </si>
  <si>
    <t xml:space="preserve">Final polish: booth wording, boarding-pass printout, park signage. The clinic corner stays open with the teacher for anyone whose inspection failed - the clinic never really closes.</t>
  </si>
  <si>
    <t xml:space="preserve">Every ride passes all three checks by 2:10.</t>
  </si>
  <si>
    <t xml:space="preserve">Clinic corner table; polish checklist</t>
  </si>
  <si>
    <t xml:space="preserve">Short break (Friday protects showcase time).</t>
  </si>
  <si>
    <t xml:space="preserve">2:20-3:25</t>
  </si>
  <si>
    <t xml:space="preserve">Rehearsal</t>
  </si>
  <si>
    <t xml:space="preserve">Two-minute run-through with a partner as guest: narrate the three physics lines, name the design choice and its audience, take one question. Swap. Reflection slip drafted.</t>
  </si>
  <si>
    <t xml:space="preserve">Reflection slip drafted; narration heard once by a partner.</t>
  </si>
  <si>
    <t xml:space="preserve">Presentation order posted; timer</t>
  </si>
  <si>
    <t xml:space="preserve">3:25-3:55</t>
  </si>
  <si>
    <t xml:space="preserve">GRAND OPENING</t>
  </si>
  <si>
    <t xml:space="preserve">Two-minute walkthroughs for the room: live run with a classmate as guest, the three-line narration, the design choice and who it serves or excludes, and the security close: who can see, change, or reach your program?</t>
  </si>
  <si>
    <t xml:space="preserve">Reflection slip collected. Each camper narrates the three lines.</t>
  </si>
  <si>
    <t xml:space="preserve">Presentation timer; families invited if the site allows</t>
  </si>
  <si>
    <t xml:space="preserve">Of everything you fixed this week, which fix taught you the most - and what would Version 4 be?</t>
  </si>
  <si>
    <t xml:space="preserve">CSTA 2026 Grade-5 Alignment - Theme Park Engineers camp</t>
  </si>
  <si>
    <t xml:space="preserve">Code</t>
  </si>
  <si>
    <t xml:space="preserve">Status</t>
  </si>
  <si>
    <t xml:space="preserve">Concept</t>
  </si>
  <si>
    <t xml:space="preserve">Subconcept</t>
  </si>
  <si>
    <t xml:space="preserve">Standard (grade 5)</t>
  </si>
  <si>
    <t xml:space="preserve">Days Addressing</t>
  </si>
  <si>
    <t xml:space="preserve">Day Count</t>
  </si>
  <si>
    <t xml:space="preserve">Evidence of Mastery</t>
  </si>
  <si>
    <t xml:space="preserve">E5-ALG-PS-01</t>
  </si>
  <si>
    <t xml:space="preserve">Verified</t>
  </si>
  <si>
    <t xml:space="preserve">Algorithms &amp; Design</t>
  </si>
  <si>
    <t xml:space="preserve">Algorithmic Problem Solving</t>
  </si>
  <si>
    <t xml:space="preserve">Create a visual representation of an algorithm that includes variables and a combination of sequence, events, iteration, and selection to solve a problem or express an idea.</t>
  </si>
  <si>
    <t xml:space="preserve">1, 2, 3</t>
  </si>
  <si>
    <t xml:space="preserve">Approved capstone blueprint (Day 3) showing sequence, a loop, and the track-choosing decision with its variables - plus the built program that follows it.</t>
  </si>
  <si>
    <t xml:space="preserve">E5-ALG-IM-03</t>
  </si>
  <si>
    <t xml:space="preserve">Impacts of Algorithms &amp; Design</t>
  </si>
  <si>
    <t xml:space="preserve">Articulate how human-centered design principles are incorporated into the development of a computing technology.</t>
  </si>
  <si>
    <t xml:space="preserve">Grand Opening reflection slip: one design choice in the camper's own ride and who it serves or excludes.</t>
  </si>
  <si>
    <t xml:space="preserve">E5-SYS-SE-13</t>
  </si>
  <si>
    <t xml:space="preserve">Systems &amp; Security</t>
  </si>
  <si>
    <t xml:space="preserve">Security</t>
  </si>
  <si>
    <t xml:space="preserve">Describe the concepts of the CIA triad and how each component is important in protecting information.</t>
  </si>
  <si>
    <t xml:space="preserve">Grand Opening debrief: who can see, change, or reach your program.</t>
  </si>
  <si>
    <t xml:space="preserve">E5-PRO-PD-??</t>
  </si>
  <si>
    <t xml:space="preserve">Needs verification</t>
  </si>
  <si>
    <t xml:space="preserve">Programming</t>
  </si>
  <si>
    <t xml:space="preserve">Program Development</t>
  </si>
  <si>
    <t xml:space="preserve">Grade-5 progression: students refine programs through feedback, compare solutions, and modify existing code to create new programs. [Confirm exact code and wording at source.]</t>
  </si>
  <si>
    <t xml:space="preserve">1, 2, 3, 4</t>
  </si>
  <si>
    <t xml:space="preserve">Working park artifact each day, plus the functional-thinking thread: named marquee (Day 1), parameter stamp and the supports refactor (Day 2), named booth blocks with show_menu() (Day 3), the behavior-preserving Tidy Booth refactor and its upgrade note (Day 4). return is deliberately excluded at grade 5 - functions are named blocks.</t>
  </si>
  <si>
    <t xml:space="preserve">E5-PRO-VD-??</t>
  </si>
  <si>
    <t xml:space="preserve">Variables &amp; Data Storage</t>
  </si>
  <si>
    <t xml:space="preserve">Grade-5 progression: students identify and label data in everyday contexts, recognize values that change over time, and identify and trace data in programs. [Confirm exact code and wording at source.]</t>
  </si>
  <si>
    <t xml:space="preserve">Completed ticket-price trace table; correct index identification on the ride roster; Ride Log Grid A on the stock track (Day 3) and Grid B on the camper's own track (Day 4).</t>
  </si>
  <si>
    <t xml:space="preserve">E5-PRO-RD-??</t>
  </si>
  <si>
    <t xml:space="preserve">Reading &amp; Documenting</t>
  </si>
  <si>
    <t xml:space="preserve">Grade-5 progression: students describe how code completes tasks and explain program steps. [Confirm exact code and wording at source.]</t>
  </si>
  <si>
    <t xml:space="preserve">2, 3, 5</t>
  </si>
  <si>
    <t xml:space="preserve">Predict-the-output warm-ups; the sqrt ladder and the no-wheels ramp (Day 2); Grand Opening narration of the three physics lines.</t>
  </si>
  <si>
    <t xml:space="preserve">E5-PRO-TR-??</t>
  </si>
  <si>
    <t xml:space="preserve">Testing &amp; Refining</t>
  </si>
  <si>
    <t xml:space="preserve">Grade-5 progression: students identify and debug errors in simple programs. [Confirm exact code and wording at source.]</t>
  </si>
  <si>
    <t xml:space="preserve">1, 3, 4</t>
  </si>
  <si>
    <t xml:space="preserve">Independent two-line debugging log, Day-3 build through Day-4 Expansion clinic (collected Day 4).</t>
  </si>
  <si>
    <t xml:space="preserve">Note</t>
  </si>
  <si>
    <t xml:space="preserve">Day Count is computed from the CSTA column on the Scope &amp; Sequence tab. If you re-map a day there, this column updates. A zero means a standard has fallen out of the camp.</t>
  </si>
  <si>
    <t xml:space="preserve">NOT COVERED BY THIS CAMP</t>
  </si>
  <si>
    <t xml:space="preserve">Machine Learning (ALG-ML) - the Smart Turnstile module was removed when the capstone became the coaster build (July 2026); no machine-learning standard is claimed by this camp.</t>
  </si>
  <si>
    <t xml:space="preserve">Data &amp; Analysis (DAT) - grade-5 data collection and investigation standards are not addressed here. They fit naturally in a math or science unit rather than an intro programming camp.</t>
  </si>
  <si>
    <t xml:space="preserve">Systems &amp; Security beyond the security standard above - hardware/software, networks, and impacts are not addressed.</t>
  </si>
  <si>
    <t xml:space="preserve">Computing &amp; Society (SOC) - history of computing, emerging technologies, humans &amp; computing, and career exploration are not addressed. If the camp story invites it, careers is the cheapest to bolt on: a 20-minute 'meet a real ride engineer' video or guest during Friday's briefing.</t>
  </si>
  <si>
    <t xml:space="preserve">Mapped to: Computer Science Teachers Association. (2026). 2026 CSTA PK-12 computer science standards. https://csteachers.org/pk12standards/  Licensed CC BY-NC-SA 4.0. 'Mapped to' is this document's claim; it is not a CSTA-reviewed or CSTA-approved designation.</t>
  </si>
  <si>
    <t xml:space="preserve">Predictable Misconceptions &amp; Diagnostic Moves - camp edition</t>
  </si>
  <si>
    <t xml:space="preserve">Misconception</t>
  </si>
  <si>
    <t xml:space="preserve">What It Looks Like at Loopline Park</t>
  </si>
  <si>
    <t xml:space="preserve">Why It Happens</t>
  </si>
  <si>
    <t xml:space="preserve">Diagnostic Move</t>
  </si>
  <si>
    <t xml:space="preserve">Re-teach</t>
  </si>
  <si>
    <t xml:space="preserve">The computer infers intent</t>
  </si>
  <si>
    <t xml:space="preserve">Camper writes 'Print' or 'pint' and expects the marquee to appear anyway.</t>
  </si>
  <si>
    <t xml:space="preserve">Every other tool they use autocorrects. Nothing has ever demanded exactness.</t>
  </si>
  <si>
    <t xml:space="preserve">Run their broken line on the projector without commentary.</t>
  </si>
  <si>
    <t xml:space="preserve">Traceback reading as a routine: last line first, then line number.</t>
  </si>
  <si>
    <t xml:space="preserve">The = sign means 'equals'</t>
  </si>
  <si>
    <t xml:space="preserve">Camper reads price = 20 as a statement of fact, not an action.</t>
  </si>
  <si>
    <t xml:space="preserve">Six years of math instruction where = is a balance, not an assignment.</t>
  </si>
  <si>
    <t xml:space="preserve">Ask: after price = 20 then price = 15, is the ticket both prices?</t>
  </si>
  <si>
    <t xml:space="preserve">Say 'gets' aloud every time. Labeled-box physical model.</t>
  </si>
  <si>
    <t xml:space="preserve">Input returns a number</t>
  </si>
  <si>
    <t xml:space="preserve">age = input(); age + 1 raises a TypeError at the ticket booth.</t>
  </si>
  <si>
    <t xml:space="preserve">The camper typed digits, so it looks numeric on screen.</t>
  </si>
  <si>
    <t xml:space="preserve">print(type(age)) and read the result together.</t>
  </si>
  <si>
    <t xml:space="preserve">Rule: input() always hands back text. Convert at the door with int().</t>
  </si>
  <si>
    <t xml:space="preserve">The loop body runs once</t>
  </si>
  <si>
    <t xml:space="preserve">Camper expects a square track from a single forward/right pair inside for.</t>
  </si>
  <si>
    <t xml:space="preserve">The code is written once, so it reads as happening once.</t>
  </si>
  <si>
    <t xml:space="preserve">Add a print inside the loop and count the lines of output.</t>
  </si>
  <si>
    <t xml:space="preserve">Physically walk the loop: four campers, four turns of the track.</t>
  </si>
  <si>
    <t xml:space="preserve">Angle equals interior angle</t>
  </si>
  <si>
    <t xml:space="preserve">Camper uses 108 for a pentagon track instead of 72.</t>
  </si>
  <si>
    <t xml:space="preserve">Interior angle is what geometry class taught them to find.</t>
  </si>
  <si>
    <t xml:space="preserve">Walk the polygon and note the turtle turns through the exterior angle.</t>
  </si>
  <si>
    <t xml:space="preserve">Total turning is one full rotation: 360/sides.</t>
  </si>
  <si>
    <t xml:space="preserve">The = and == signs are interchangeable</t>
  </si>
  <si>
    <t xml:space="preserve">if height = 48 raises a SyntaxError at the safety gate, or == appears when assigning.</t>
  </si>
  <si>
    <t xml:space="preserve">The two symbols look nearly identical and were introduced a day apart.</t>
  </si>
  <si>
    <t xml:space="preserve">Read conditions aloud as questions: 'is height the same as 48?'</t>
  </si>
  <si>
    <t xml:space="preserve">Color-code on the reference card. One assigns, one asks.</t>
  </si>
  <si>
    <t xml:space="preserve">Multiple branches run</t>
  </si>
  <si>
    <t xml:space="preserve">Camper expects both the 'tall enough' and 'too short' messages to appear.</t>
  </si>
  <si>
    <t xml:space="preserve">Both lines are visible in the code, so both feel active.</t>
  </si>
  <si>
    <t xml:space="preserve">Have them trace the gate with one specific height.</t>
  </si>
  <si>
    <t xml:space="preserve">elif chain as a fork in the queue: you take one path.</t>
  </si>
  <si>
    <t xml:space="preserve">Lists start at 1</t>
  </si>
  <si>
    <t xml:space="preserve">Off-by-one errors; IndexError on the last ride in the roster.</t>
  </si>
  <si>
    <t xml:space="preserve">Everything else they count starts at one.</t>
  </si>
  <si>
    <t xml:space="preserve">Numbered queue cups: label the first cup 0 and let the discomfort sit.</t>
  </si>
  <si>
    <t xml:space="preserve">Last index is len() minus one. Practice on short rosters first.</t>
  </si>
  <si>
    <t xml:space="preserve">A list is a single value</t>
  </si>
  <si>
    <t xml:space="preserve">Camper prints the whole roster when they wanted one ride.</t>
  </si>
  <si>
    <t xml:space="preserve">One variable name suggests one thing.</t>
  </si>
  <si>
    <t xml:space="preserve">Ask them to point at the ride they want, then name its index.</t>
  </si>
  <si>
    <t xml:space="preserve">The list is the shelf; the index picks the ride.</t>
  </si>
  <si>
    <t xml:space="preserve">1</t>
  </si>
  <si>
    <t xml:space="preserve">Defining is calling</t>
  </si>
  <si>
    <t xml:space="preserve">show_marquee() defined, program runs, nothing prints, camper assumes it broke.</t>
  </si>
  <si>
    <t xml:space="preserve">Writing the code feels like the work is done.</t>
  </si>
  <si>
    <t xml:space="preserve">Run it and sit with the silence. Then add the call.</t>
  </si>
  <si>
    <t xml:space="preserve">Two steps, always: stamp the blueprint, then use the stamp.</t>
  </si>
  <si>
    <t xml:space="preserve">Parameters are magic words</t>
  </si>
  <si>
    <t xml:space="preserve">Camper changes the parameter name inside def and expects the call to follow.</t>
  </si>
  <si>
    <t xml:space="preserve">Naming feels declarative rather than positional.</t>
  </si>
  <si>
    <t xml:space="preserve">Rename the parameter and watch the call still work.</t>
  </si>
  <si>
    <t xml:space="preserve">The name is local. What matters is the order of what you pass.</t>
  </si>
  <si>
    <t xml:space="preserve">A new track list is a capstone</t>
  </si>
  <si>
    <t xml:space="preserve">Camper swaps sixteen numbers into the engine and calls the attraction done.</t>
  </si>
  <si>
    <t xml:space="preserve">The coaster is the visible star; the booth feels like paperwork.</t>
  </si>
  <si>
    <t xml:space="preserve">Ask them to point at the loop and the decision THEY wrote. The engine doesn't count - they didn't write it.</t>
  </si>
  <si>
    <t xml:space="preserve">The booth is the program; the coaster is its finale. Blueprint approval is the gate.</t>
  </si>
  <si>
    <t xml:space="preserve">A taller later hill means a faster ride</t>
  </si>
  <si>
    <t xml:space="preserve">Camper builds a 55 m hill after a 50 m lift and expects extra speed; the train freezes with the STALLED banner.</t>
  </si>
  <si>
    <t xml:space="preserve">All week, taller has meant faster - but that was the LIFT hill: the deposit, not a withdrawal.</t>
  </si>
  <si>
    <t xml:space="preserve">Run the stall live and watch the banner. Where did the speed go?</t>
  </si>
  <si>
    <t xml:space="preserve">No later hill out-talls the lift hill. The chain deposits the ride's whole budget exactly once.</t>
  </si>
  <si>
    <t xml:space="preserve">Stuck means failure</t>
  </si>
  <si>
    <t xml:space="preserve">Camper freezes at Thursday triage, embarrassed the build is broken.</t>
  </si>
  <si>
    <t xml:space="preserve">School often grades the artifact, not the repair.</t>
  </si>
  <si>
    <t xml:space="preserve">Point at the schedule: the whole morning is the fix-it clinic. Real parks budget for this.</t>
  </si>
  <si>
    <t xml:space="preserve">Being stuck Friday morning is the plan working. The rubric's protected row is the repair, not the shine.</t>
  </si>
  <si>
    <t xml:space="preserve">The presentation is about perfection</t>
  </si>
  <si>
    <t xml:space="preserve">Camper freezes at the microphone when one run hiccups.</t>
  </si>
  <si>
    <t xml:space="preserve">School often rewards flawless performance; the walkthrough rewards narration and repair.</t>
  </si>
  <si>
    <t xml:space="preserve">Assessment - Theme Park Engineers camp</t>
  </si>
  <si>
    <t xml:space="preserve">GRAND OPENING RUBRIC (capstone)</t>
  </si>
  <si>
    <t xml:space="preserve">Criterion</t>
  </si>
  <si>
    <t xml:space="preserve">Beginning (1)</t>
  </si>
  <si>
    <t xml:space="preserve">Developing (2)</t>
  </si>
  <si>
    <t xml:space="preserve">Proficient (3)</t>
  </si>
  <si>
    <t xml:space="preserve">Extending (4)</t>
  </si>
  <si>
    <t xml:space="preserve">Planning</t>
  </si>
  <si>
    <t xml:space="preserve">No blueprint, or blueprint does not match the attraction.</t>
  </si>
  <si>
    <t xml:space="preserve">Blueprint exists but omits the loop or the decision.</t>
  </si>
  <si>
    <t xml:space="preserve">Visual blueprint shows sequence, a loop, and a decision; program follows it.</t>
  </si>
  <si>
    <t xml:space="preserve">Blueprint was revised mid-build and the revision is documented.</t>
  </si>
  <si>
    <t xml:space="preserve">Program works</t>
  </si>
  <si>
    <t xml:space="preserve">Does not run.</t>
  </si>
  <si>
    <t xml:space="preserve">Runs but produces the wrong result.</t>
  </si>
  <si>
    <t xml:space="preserve">Runs and does what the blueprint said it would.</t>
  </si>
  <si>
    <t xml:space="preserve">Handles an unexpected guest input without crashing.</t>
  </si>
  <si>
    <t xml:space="preserve">Construct use</t>
  </si>
  <si>
    <t xml:space="preserve">Uses one prior day's constructs.</t>
  </si>
  <si>
    <t xml:space="preserve">Uses two.</t>
  </si>
  <si>
    <t xml:space="preserve">Uses constructs from at least three prior days.</t>
  </si>
  <si>
    <t xml:space="preserve">Combines them in a way not modeled in camp.</t>
  </si>
  <si>
    <t xml:space="preserve">Debugging</t>
  </si>
  <si>
    <t xml:space="preserve">Needed step-by-step help to fix errors.</t>
  </si>
  <si>
    <t xml:space="preserve">Fixed errors with prompting.</t>
  </si>
  <si>
    <t xml:space="preserve">Read the error message and fixed it independently.</t>
  </si>
  <si>
    <t xml:space="preserve">Anticipated a failure and tested for it before it occurred.</t>
  </si>
  <si>
    <t xml:space="preserve">Explanation</t>
  </si>
  <si>
    <t xml:space="preserve">Cannot describe what the code does.</t>
  </si>
  <si>
    <t xml:space="preserve">Describes what it does, line by line.</t>
  </si>
  <si>
    <t xml:space="preserve">Explains what it does and names one design choice.</t>
  </si>
  <si>
    <t xml:space="preserve">Explains a choice and the alternative that was rejected.</t>
  </si>
  <si>
    <t xml:space="preserve">ASSESSMENT NOTES</t>
  </si>
  <si>
    <t xml:space="preserve">Maintenance Logs (exit tickets) are the primary formative instrument. One question, on paper, under two minutes. Their purpose is to tell you what to reteach in tomorrow's Park Briefing - not to generate a grade. In a one-week camp this loop is the whole assessment system: there is no 'next week' to catch a gap.</t>
  </si>
  <si>
    <t xml:space="preserve">Typing speed, syntax recall, and code volume are deliberately not assessed. At this age they measure prior exposure and keyboard familiarity far more than they measure understanding.</t>
  </si>
  <si>
    <t xml:space="preserve">The debugging criterion is the one most worth protecting. It is the only row on the rubric that cannot be satisfied by a camper who was rescued, which makes it the truest signal in the set.</t>
  </si>
  <si>
    <t xml:space="preserve">If the room consistently scores Developing on Construct use at the Grand Opening, the cause is usually Thursday pacing (lists into functions is where the sequence bends), not the capstone itself. The pressure valve is Tuesday's nested-loop block.</t>
  </si>
  <si>
    <t xml:space="preserve">Camp-specific caution: a Friday capstone after four days of instruction reflects momentum as much as mastery. If this camp feeds a school-year report, record the rubric as evidence of standards addressed during the camp, and let mastery claims rest on the two artifacts named on the Standards Alignment tab.</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</si>
</sst>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B2951"/>
      <name val="Arial"/>
      <family val="0"/>
      <charset val="1"/>
    </font>
    <font>
      <i val="true"/>
      <sz val="10"/>
      <color rgb="FF595959"/>
      <name val="Arial"/>
      <family val="0"/>
      <charset val="1"/>
    </font>
    <font>
      <b val="true"/>
      <sz val="11"/>
      <color rgb="FF1B2951"/>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color rgb="FFC00000"/>
      <name val="Arial"/>
      <family val="0"/>
      <charset val="1"/>
    </font>
  </fonts>
  <fills count="6">
    <fill>
      <patternFill patternType="none"/>
    </fill>
    <fill>
      <patternFill patternType="gray125"/>
    </fill>
    <fill>
      <patternFill patternType="solid">
        <fgColor rgb="FF1B2951"/>
        <bgColor rgb="FF333333"/>
      </patternFill>
    </fill>
    <fill>
      <patternFill patternType="solid">
        <fgColor rgb="FFFFF2CC"/>
        <bgColor rgb="FFF2F2F2"/>
      </patternFill>
    </fill>
    <fill>
      <patternFill patternType="solid">
        <fgColor rgb="FFE8EBF2"/>
        <bgColor rgb="FFF2F2F2"/>
      </patternFill>
    </fill>
    <fill>
      <patternFill patternType="solid">
        <fgColor rgb="FFF2F2F2"/>
        <bgColor rgb="FFE8EB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top" textRotation="0" wrapText="true" indent="0" shrinkToFit="false"/>
      <protection locked="true" hidden="false"/>
    </xf>
    <xf numFmtId="166" fontId="10" fillId="0" borderId="0" xfId="0" applyFont="true" applyBorder="fals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295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90"/>
  </cols>
  <sheetData>
    <row r="1" customFormat="false" ht="17.25" hidden="false" customHeight="true" outlineLevel="0" collapsed="false">
      <c r="B1" s="2" t="s">
        <v>0</v>
      </c>
    </row>
    <row r="2" customFormat="false" ht="30" hidden="false" customHeight="true" outlineLevel="0" collapsed="false">
      <c r="B2" s="3" t="s">
        <v>1</v>
      </c>
      <c r="C2" s="3"/>
    </row>
    <row r="4" customFormat="false" ht="15" hidden="false" customHeight="true" outlineLevel="0" collapsed="false">
      <c r="B4" s="4" t="s">
        <v>2</v>
      </c>
    </row>
    <row r="5" customFormat="false" ht="72" hidden="false" customHeight="true" outlineLevel="0" collapsed="false">
      <c r="B5" s="5" t="s">
        <v>3</v>
      </c>
      <c r="C5" s="5"/>
    </row>
    <row r="7" customFormat="false" ht="15" hidden="false" customHeight="true" outlineLevel="0" collapsed="false">
      <c r="B7" s="4" t="s">
        <v>4</v>
      </c>
    </row>
    <row r="8" customFormat="false" ht="15" hidden="false" customHeight="true" outlineLevel="0" collapsed="false">
      <c r="B8" s="6" t="s">
        <v>5</v>
      </c>
    </row>
    <row r="9" customFormat="false" ht="15" hidden="false" customHeight="true" outlineLevel="0" collapsed="false">
      <c r="A9" s="7"/>
      <c r="B9" s="7" t="s">
        <v>6</v>
      </c>
      <c r="C9" s="7" t="s">
        <v>7</v>
      </c>
    </row>
    <row r="10" customFormat="false" ht="15" hidden="false" customHeight="true" outlineLevel="0" collapsed="false">
      <c r="B10" s="8" t="s">
        <v>8</v>
      </c>
      <c r="C10" s="9" t="n">
        <v>5</v>
      </c>
    </row>
    <row r="11" customFormat="false" ht="15" hidden="false" customHeight="true" outlineLevel="0" collapsed="false">
      <c r="B11" s="8" t="s">
        <v>9</v>
      </c>
      <c r="C11" s="9" t="n">
        <v>180</v>
      </c>
    </row>
    <row r="12" customFormat="false" ht="15" hidden="false" customHeight="true" outlineLevel="0" collapsed="false">
      <c r="B12" s="8" t="s">
        <v>10</v>
      </c>
      <c r="C12" s="9" t="n">
        <v>30</v>
      </c>
    </row>
    <row r="13" customFormat="false" ht="15" hidden="false" customHeight="true" outlineLevel="0" collapsed="false">
      <c r="B13" s="8" t="s">
        <v>11</v>
      </c>
      <c r="C13" s="9" t="n">
        <v>150</v>
      </c>
    </row>
    <row r="14" customFormat="false" ht="15" hidden="false" customHeight="true" outlineLevel="0" collapsed="false">
      <c r="B14" s="8" t="s">
        <v>12</v>
      </c>
      <c r="C14" s="9" t="n">
        <v>16</v>
      </c>
    </row>
    <row r="16" customFormat="false" ht="15" hidden="false" customHeight="true" outlineLevel="0" collapsed="false">
      <c r="B16" s="4" t="s">
        <v>13</v>
      </c>
    </row>
    <row r="17" customFormat="false" ht="27.75" hidden="false" customHeight="true" outlineLevel="0" collapsed="false">
      <c r="C17" s="10" t="s">
        <v>14</v>
      </c>
    </row>
    <row r="18" customFormat="false" ht="55.5" hidden="false" customHeight="true" outlineLevel="0" collapsed="false">
      <c r="C18" s="10" t="s">
        <v>15</v>
      </c>
    </row>
    <row r="19" customFormat="false" ht="55.5" hidden="false" customHeight="true" outlineLevel="0" collapsed="false">
      <c r="C19" s="10" t="s">
        <v>16</v>
      </c>
    </row>
    <row r="21" customFormat="false" ht="15" hidden="false" customHeight="true" outlineLevel="0" collapsed="false">
      <c r="B21" s="4" t="s">
        <v>17</v>
      </c>
    </row>
    <row r="22" customFormat="false" ht="27.75" hidden="false" customHeight="true" outlineLevel="0" collapsed="false">
      <c r="C22" s="10" t="s">
        <v>18</v>
      </c>
    </row>
    <row r="23" customFormat="false" ht="27.75" hidden="false" customHeight="true" outlineLevel="0" collapsed="false">
      <c r="C23" s="10" t="s">
        <v>19</v>
      </c>
    </row>
    <row r="24" customFormat="false" ht="27.75" hidden="false" customHeight="true" outlineLevel="0" collapsed="false">
      <c r="C24" s="10" t="s">
        <v>20</v>
      </c>
    </row>
    <row r="25" customFormat="false" ht="27.75" hidden="false" customHeight="true" outlineLevel="0" collapsed="false">
      <c r="C25" s="10" t="s">
        <v>21</v>
      </c>
    </row>
    <row r="26" customFormat="false" ht="27.75" hidden="false" customHeight="true" outlineLevel="0" collapsed="false">
      <c r="C26" s="10" t="s">
        <v>22</v>
      </c>
    </row>
    <row r="28" customFormat="false" ht="15" hidden="false" customHeight="true" outlineLevel="0" collapsed="false">
      <c r="B28" s="4" t="s">
        <v>23</v>
      </c>
    </row>
    <row r="29" customFormat="false" ht="27.75" hidden="false" customHeight="true" outlineLevel="0" collapsed="false">
      <c r="C29" s="10" t="s">
        <v>24</v>
      </c>
    </row>
    <row r="30" customFormat="false" ht="27.75" hidden="false" customHeight="true" outlineLevel="0" collapsed="false">
      <c r="C30" s="10" t="s">
        <v>25</v>
      </c>
    </row>
    <row r="31" customFormat="false" ht="27.75" hidden="false" customHeight="true" outlineLevel="0" collapsed="false">
      <c r="C31" s="10" t="s">
        <v>26</v>
      </c>
    </row>
    <row r="32" customFormat="false" ht="27.75" hidden="false" customHeight="true" outlineLevel="0" collapsed="false">
      <c r="C32" s="10" t="s">
        <v>27</v>
      </c>
    </row>
    <row r="33" customFormat="false" ht="57" hidden="false" customHeight="true" outlineLevel="0" collapsed="false">
      <c r="C33" s="10" t="s">
        <v>28</v>
      </c>
    </row>
    <row r="34" customFormat="false" ht="15" hidden="false" customHeight="true" outlineLevel="0" collapsed="false"/>
    <row r="35" customFormat="false" ht="69.75" hidden="false" customHeight="true" outlineLevel="0" collapsed="false">
      <c r="B35" s="4" t="s">
        <v>29</v>
      </c>
    </row>
    <row r="36" customFormat="false" ht="55.5" hidden="false" customHeight="true" outlineLevel="0" collapsed="false">
      <c r="C36" s="10" t="s">
        <v>30</v>
      </c>
    </row>
    <row r="37" customFormat="false" ht="45.75" hidden="false" customHeight="true" outlineLevel="0" collapsed="false">
      <c r="C37" s="10" t="s">
        <v>31</v>
      </c>
    </row>
    <row r="38" customFormat="false" ht="15" hidden="false" customHeight="true" outlineLevel="0" collapsed="false"/>
    <row r="39" customFormat="false" ht="27.75" hidden="false" customHeight="true" outlineLevel="0" collapsed="false">
      <c r="B39" s="4" t="s">
        <v>32</v>
      </c>
    </row>
    <row r="40" customFormat="false" ht="27.75" hidden="false" customHeight="true" outlineLevel="0" collapsed="false">
      <c r="C40" s="10" t="s">
        <v>33</v>
      </c>
    </row>
    <row r="41" customFormat="false" ht="55.5" hidden="false" customHeight="true" outlineLevel="0" collapsed="false">
      <c r="C41" s="10" t="s">
        <v>34</v>
      </c>
    </row>
    <row r="42" customFormat="false" ht="27.75" hidden="false" customHeight="true" outlineLevel="0" collapsed="false">
      <c r="C42" s="10" t="s">
        <v>35</v>
      </c>
    </row>
    <row r="43" customFormat="false" ht="42" hidden="false" customHeight="true" outlineLevel="0" collapsed="false">
      <c r="C43" s="10" t="s">
        <v>36</v>
      </c>
    </row>
    <row r="44" customFormat="false" ht="34.5" hidden="false" customHeight="true" outlineLevel="0" collapsed="false">
      <c r="C44" s="10" t="s">
        <v>37</v>
      </c>
    </row>
  </sheetData>
  <mergeCells count="2">
    <mergeCell ref="B2:C2"/>
    <mergeCell ref="B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4" min="3" style="1" width="12"/>
    <col collapsed="false" customWidth="true" hidden="false" outlineLevel="0" max="5" min="5" style="1" width="34"/>
    <col collapsed="false" customWidth="true" hidden="false" outlineLevel="0" max="6" min="6" style="1" width="52"/>
    <col collapsed="false" customWidth="true" hidden="false" outlineLevel="0" max="7" min="7" style="1" width="26"/>
    <col collapsed="false" customWidth="true" hidden="false" outlineLevel="0" max="8" min="8" style="1" width="34"/>
    <col collapsed="false" customWidth="true" hidden="false" outlineLevel="0" max="9" min="9" style="1" width="22"/>
    <col collapsed="false" customWidth="true" hidden="false" outlineLevel="0" max="10" min="10" style="1" width="34"/>
    <col collapsed="false" customWidth="true" hidden="false" outlineLevel="0" max="11" min="11" style="1" width="38"/>
  </cols>
  <sheetData>
    <row r="1" customFormat="false" ht="17.25" hidden="false" customHeight="true" outlineLevel="0" collapsed="false">
      <c r="A1" s="2" t="s">
        <v>38</v>
      </c>
    </row>
    <row r="2" customFormat="false" ht="23.25" hidden="false" customHeight="true" outlineLevel="0" collapsed="false">
      <c r="A2" s="7" t="s">
        <v>39</v>
      </c>
      <c r="B2" s="7" t="s">
        <v>40</v>
      </c>
      <c r="C2" s="7" t="s">
        <v>41</v>
      </c>
      <c r="D2" s="7" t="s">
        <v>42</v>
      </c>
      <c r="E2" s="7" t="s">
        <v>43</v>
      </c>
      <c r="F2" s="7" t="s">
        <v>44</v>
      </c>
      <c r="G2" s="7" t="s">
        <v>45</v>
      </c>
      <c r="H2" s="7" t="s">
        <v>46</v>
      </c>
      <c r="I2" s="7" t="s">
        <v>47</v>
      </c>
      <c r="J2" s="7" t="s">
        <v>48</v>
      </c>
      <c r="K2" s="7" t="s">
        <v>49</v>
      </c>
    </row>
    <row r="3" customFormat="false" ht="117.75" hidden="false" customHeight="true" outlineLevel="0" collapsed="false">
      <c r="A3" s="11" t="n">
        <v>1</v>
      </c>
      <c r="B3" s="12" t="s">
        <v>50</v>
      </c>
      <c r="C3" s="12" t="s">
        <v>51</v>
      </c>
      <c r="D3" s="11" t="n">
        <v>150</v>
      </c>
      <c r="E3" s="12" t="s">
        <v>52</v>
      </c>
      <c r="F3" s="12" t="s">
        <v>53</v>
      </c>
      <c r="G3" s="12" t="s">
        <v>54</v>
      </c>
      <c r="H3" s="12" t="s">
        <v>55</v>
      </c>
      <c r="I3" s="12" t="s">
        <v>56</v>
      </c>
      <c r="J3" s="12" t="s">
        <v>57</v>
      </c>
      <c r="K3" s="12" t="s">
        <v>58</v>
      </c>
    </row>
    <row r="4" customFormat="false" ht="117.75" hidden="false" customHeight="true" outlineLevel="0" collapsed="false">
      <c r="A4" s="11" t="n">
        <v>2</v>
      </c>
      <c r="B4" s="12" t="s">
        <v>59</v>
      </c>
      <c r="C4" s="12" t="s">
        <v>60</v>
      </c>
      <c r="D4" s="11" t="n">
        <v>150</v>
      </c>
      <c r="E4" s="12" t="s">
        <v>61</v>
      </c>
      <c r="F4" s="12" t="s">
        <v>62</v>
      </c>
      <c r="G4" s="12" t="s">
        <v>63</v>
      </c>
      <c r="H4" s="12" t="s">
        <v>64</v>
      </c>
      <c r="I4" s="12" t="s">
        <v>65</v>
      </c>
      <c r="J4" s="12" t="s">
        <v>66</v>
      </c>
      <c r="K4" s="12" t="s">
        <v>67</v>
      </c>
    </row>
    <row r="5" customFormat="false" ht="117.75" hidden="false" customHeight="true" outlineLevel="0" collapsed="false">
      <c r="A5" s="11" t="n">
        <v>3</v>
      </c>
      <c r="B5" s="12" t="s">
        <v>68</v>
      </c>
      <c r="C5" s="12" t="s">
        <v>69</v>
      </c>
      <c r="D5" s="11" t="n">
        <v>150</v>
      </c>
      <c r="E5" s="12" t="s">
        <v>70</v>
      </c>
      <c r="F5" s="12" t="s">
        <v>71</v>
      </c>
      <c r="G5" s="12" t="s">
        <v>72</v>
      </c>
      <c r="H5" s="12" t="s">
        <v>73</v>
      </c>
      <c r="I5" s="12" t="s">
        <v>74</v>
      </c>
      <c r="J5" s="12" t="s">
        <v>75</v>
      </c>
      <c r="K5" s="12" t="s">
        <v>76</v>
      </c>
    </row>
    <row r="6" customFormat="false" ht="117.75" hidden="false" customHeight="true" outlineLevel="0" collapsed="false">
      <c r="A6" s="11" t="n">
        <v>4</v>
      </c>
      <c r="B6" s="12" t="s">
        <v>77</v>
      </c>
      <c r="C6" s="12" t="s">
        <v>78</v>
      </c>
      <c r="D6" s="11" t="n">
        <v>150</v>
      </c>
      <c r="E6" s="12" t="s">
        <v>79</v>
      </c>
      <c r="F6" s="12" t="s">
        <v>80</v>
      </c>
      <c r="G6" s="12" t="s">
        <v>81</v>
      </c>
      <c r="H6" s="12" t="s">
        <v>82</v>
      </c>
      <c r="I6" s="12" t="s">
        <v>83</v>
      </c>
      <c r="J6" s="12" t="s">
        <v>84</v>
      </c>
      <c r="K6" s="12" t="s">
        <v>85</v>
      </c>
    </row>
    <row r="7" customFormat="false" ht="117.75" hidden="false" customHeight="true" outlineLevel="0" collapsed="false">
      <c r="A7" s="11" t="n">
        <v>5</v>
      </c>
      <c r="B7" s="12" t="s">
        <v>86</v>
      </c>
      <c r="C7" s="12" t="s">
        <v>87</v>
      </c>
      <c r="D7" s="11" t="n">
        <v>150</v>
      </c>
      <c r="E7" s="12" t="s">
        <v>88</v>
      </c>
      <c r="F7" s="12" t="s">
        <v>89</v>
      </c>
      <c r="G7" s="12" t="s">
        <v>90</v>
      </c>
      <c r="H7" s="12" t="s">
        <v>91</v>
      </c>
      <c r="I7" s="12" t="s">
        <v>92</v>
      </c>
      <c r="J7" s="12" t="s">
        <v>93</v>
      </c>
      <c r="K7" s="12" t="s">
        <v>94</v>
      </c>
    </row>
    <row r="8" customFormat="false" ht="15" hidden="false" customHeight="true" outlineLevel="0" collapsed="false">
      <c r="B8" s="13" t="s">
        <v>95</v>
      </c>
      <c r="D8" s="14" t="n">
        <f aca="false">SUM(D3:D7)</f>
        <v>750</v>
      </c>
    </row>
    <row r="9" customFormat="false" ht="39.75" hidden="false" customHeight="true" outlineLevel="0" collapsed="false">
      <c r="B9" s="13" t="s">
        <v>96</v>
      </c>
      <c r="D9" s="15" t="n">
        <f aca="false">D8/60</f>
        <v>12.5</v>
      </c>
      <c r="E9" s="3" t="s">
        <v>97</v>
      </c>
      <c r="F9" s="3"/>
      <c r="G9" s="3"/>
      <c r="H9" s="3"/>
    </row>
  </sheetData>
  <mergeCells count="1">
    <mergeCell ref="E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0"/>
    <col collapsed="false" customWidth="true" hidden="false" outlineLevel="0" max="4" min="4" style="1" width="24"/>
    <col collapsed="false" customWidth="true" hidden="false" outlineLevel="0" max="5" min="5" style="1" width="78"/>
    <col collapsed="false" customWidth="true" hidden="false" outlineLevel="0" max="6" min="6" style="1" width="42"/>
    <col collapsed="false" customWidth="true" hidden="false" outlineLevel="0" max="7" min="7" style="1" width="30"/>
  </cols>
  <sheetData>
    <row r="1" customFormat="false" ht="17.25" hidden="false" customHeight="true" outlineLevel="0" collapsed="false">
      <c r="A1" s="2" t="s">
        <v>98</v>
      </c>
    </row>
    <row r="2" customFormat="false" ht="15" hidden="false" customHeight="true" outlineLevel="0" collapsed="false">
      <c r="A2" s="7" t="s">
        <v>39</v>
      </c>
      <c r="B2" s="7" t="s">
        <v>99</v>
      </c>
      <c r="C2" s="7" t="s">
        <v>100</v>
      </c>
      <c r="D2" s="7" t="s">
        <v>101</v>
      </c>
      <c r="E2" s="7" t="s">
        <v>102</v>
      </c>
      <c r="F2" s="7" t="s">
        <v>103</v>
      </c>
      <c r="G2" s="7" t="s">
        <v>104</v>
      </c>
    </row>
    <row r="3" customFormat="false" ht="61.5" hidden="false" customHeight="true" outlineLevel="0" collapsed="false">
      <c r="A3" s="16" t="n">
        <v>1</v>
      </c>
      <c r="B3" s="17" t="s">
        <v>105</v>
      </c>
      <c r="C3" s="17" t="s">
        <v>106</v>
      </c>
      <c r="D3" s="17" t="s">
        <v>107</v>
      </c>
      <c r="E3" s="17" t="s">
        <v>108</v>
      </c>
      <c r="F3" s="17" t="s">
        <v>109</v>
      </c>
      <c r="G3" s="17" t="s">
        <v>110</v>
      </c>
    </row>
    <row r="4" customFormat="false" ht="61.5" hidden="false" customHeight="true" outlineLevel="0" collapsed="false">
      <c r="A4" s="11" t="n">
        <v>1</v>
      </c>
      <c r="B4" s="12" t="s">
        <v>111</v>
      </c>
      <c r="C4" s="12" t="s">
        <v>112</v>
      </c>
      <c r="D4" s="12" t="s">
        <v>113</v>
      </c>
      <c r="E4" s="12" t="s">
        <v>114</v>
      </c>
      <c r="F4" s="12" t="s">
        <v>115</v>
      </c>
      <c r="G4" s="12" t="s">
        <v>116</v>
      </c>
    </row>
    <row r="5" customFormat="false" ht="15.75" hidden="false" customHeight="true" outlineLevel="0" collapsed="false">
      <c r="A5" s="18" t="n">
        <v>1</v>
      </c>
      <c r="B5" s="19" t="s">
        <v>117</v>
      </c>
      <c r="C5" s="19" t="s">
        <v>118</v>
      </c>
      <c r="D5" s="19" t="s">
        <v>119</v>
      </c>
      <c r="E5" s="19" t="s">
        <v>120</v>
      </c>
      <c r="F5" s="19" t="s">
        <v>119</v>
      </c>
      <c r="G5" s="19" t="s">
        <v>119</v>
      </c>
    </row>
    <row r="6" customFormat="false" ht="61.5" hidden="false" customHeight="true" outlineLevel="0" collapsed="false">
      <c r="A6" s="11" t="n">
        <v>1</v>
      </c>
      <c r="B6" s="12" t="s">
        <v>121</v>
      </c>
      <c r="C6" s="12" t="s">
        <v>122</v>
      </c>
      <c r="D6" s="12" t="s">
        <v>123</v>
      </c>
      <c r="E6" s="12" t="s">
        <v>124</v>
      </c>
      <c r="F6" s="12" t="s">
        <v>125</v>
      </c>
      <c r="G6" s="12" t="s">
        <v>126</v>
      </c>
    </row>
    <row r="7" customFormat="false" ht="61.5" hidden="false" customHeight="true" outlineLevel="0" collapsed="false">
      <c r="A7" s="11" t="n">
        <v>1</v>
      </c>
      <c r="B7" s="12" t="s">
        <v>127</v>
      </c>
      <c r="C7" s="12" t="s">
        <v>128</v>
      </c>
      <c r="D7" s="12" t="s">
        <v>129</v>
      </c>
      <c r="E7" s="12" t="s">
        <v>130</v>
      </c>
      <c r="F7" s="12" t="s">
        <v>131</v>
      </c>
      <c r="G7" s="12" t="s">
        <v>132</v>
      </c>
    </row>
    <row r="8" customFormat="false" ht="61.5" hidden="false" customHeight="true" outlineLevel="0" collapsed="false">
      <c r="A8" s="11" t="n">
        <v>1</v>
      </c>
      <c r="B8" s="12" t="s">
        <v>133</v>
      </c>
      <c r="C8" s="12" t="s">
        <v>134</v>
      </c>
      <c r="D8" s="12" t="s">
        <v>135</v>
      </c>
      <c r="E8" s="12" t="s">
        <v>136</v>
      </c>
      <c r="F8" s="12" t="s">
        <v>137</v>
      </c>
      <c r="G8" s="12" t="s">
        <v>138</v>
      </c>
    </row>
    <row r="9" customFormat="false" ht="61.5" hidden="false" customHeight="true" outlineLevel="0" collapsed="false">
      <c r="A9" s="1" t="s">
        <v>139</v>
      </c>
      <c r="B9" s="1" t="s">
        <v>105</v>
      </c>
      <c r="C9" s="1" t="s">
        <v>106</v>
      </c>
      <c r="D9" s="1" t="s">
        <v>140</v>
      </c>
      <c r="E9" s="1" t="s">
        <v>141</v>
      </c>
      <c r="F9" s="1" t="s">
        <v>142</v>
      </c>
      <c r="G9" s="1" t="s">
        <v>143</v>
      </c>
    </row>
    <row r="10" customFormat="false" ht="61.5" hidden="false" customHeight="true" outlineLevel="0" collapsed="false">
      <c r="A10" s="1" t="s">
        <v>139</v>
      </c>
      <c r="B10" s="1" t="s">
        <v>111</v>
      </c>
      <c r="C10" s="1" t="s">
        <v>112</v>
      </c>
      <c r="D10" s="1" t="s">
        <v>144</v>
      </c>
      <c r="E10" s="1" t="s">
        <v>145</v>
      </c>
      <c r="F10" s="1" t="s">
        <v>146</v>
      </c>
      <c r="G10" s="1" t="s">
        <v>147</v>
      </c>
    </row>
    <row r="11" customFormat="false" ht="15.75" hidden="false" customHeight="true" outlineLevel="0" collapsed="false">
      <c r="A11" s="1" t="s">
        <v>139</v>
      </c>
      <c r="B11" s="1" t="s">
        <v>117</v>
      </c>
      <c r="C11" s="1" t="s">
        <v>118</v>
      </c>
      <c r="D11" s="1" t="s">
        <v>119</v>
      </c>
      <c r="E11" s="1" t="s">
        <v>148</v>
      </c>
      <c r="F11" s="1" t="s">
        <v>119</v>
      </c>
      <c r="G11" s="1" t="s">
        <v>119</v>
      </c>
    </row>
    <row r="12" customFormat="false" ht="61.5" hidden="false" customHeight="true" outlineLevel="0" collapsed="false">
      <c r="A12" s="1" t="s">
        <v>139</v>
      </c>
      <c r="B12" s="1" t="s">
        <v>121</v>
      </c>
      <c r="C12" s="1" t="s">
        <v>122</v>
      </c>
      <c r="D12" s="1" t="s">
        <v>149</v>
      </c>
      <c r="E12" s="1" t="s">
        <v>150</v>
      </c>
      <c r="F12" s="1" t="s">
        <v>151</v>
      </c>
      <c r="G12" s="1" t="s">
        <v>152</v>
      </c>
    </row>
    <row r="13" customFormat="false" ht="61.5" hidden="false" customHeight="true" outlineLevel="0" collapsed="false">
      <c r="A13" s="1" t="s">
        <v>139</v>
      </c>
      <c r="B13" s="1" t="s">
        <v>127</v>
      </c>
      <c r="C13" s="1" t="s">
        <v>128</v>
      </c>
      <c r="D13" s="1" t="s">
        <v>153</v>
      </c>
      <c r="E13" s="1" t="s">
        <v>154</v>
      </c>
      <c r="F13" s="1" t="s">
        <v>155</v>
      </c>
      <c r="G13" s="1" t="s">
        <v>156</v>
      </c>
    </row>
    <row r="14" customFormat="false" ht="61.5" hidden="false" customHeight="true" outlineLevel="0" collapsed="false">
      <c r="A14" s="1" t="s">
        <v>139</v>
      </c>
      <c r="B14" s="1" t="s">
        <v>133</v>
      </c>
      <c r="C14" s="1" t="s">
        <v>134</v>
      </c>
      <c r="D14" s="1" t="s">
        <v>135</v>
      </c>
      <c r="E14" s="1" t="s">
        <v>157</v>
      </c>
      <c r="F14" s="1" t="s">
        <v>158</v>
      </c>
      <c r="G14" s="1" t="s">
        <v>138</v>
      </c>
    </row>
    <row r="15" customFormat="false" ht="61.5" hidden="false" customHeight="true" outlineLevel="0" collapsed="false">
      <c r="A15" s="1" t="s">
        <v>159</v>
      </c>
      <c r="B15" s="1" t="s">
        <v>105</v>
      </c>
      <c r="C15" s="1" t="s">
        <v>106</v>
      </c>
      <c r="D15" s="1" t="s">
        <v>160</v>
      </c>
      <c r="E15" s="1" t="s">
        <v>161</v>
      </c>
      <c r="F15" s="1" t="s">
        <v>162</v>
      </c>
      <c r="G15" s="1" t="s">
        <v>163</v>
      </c>
    </row>
    <row r="16" customFormat="false" ht="61.5" hidden="false" customHeight="true" outlineLevel="0" collapsed="false">
      <c r="A16" s="1" t="s">
        <v>159</v>
      </c>
      <c r="B16" s="1" t="s">
        <v>111</v>
      </c>
      <c r="C16" s="1" t="s">
        <v>112</v>
      </c>
      <c r="D16" s="1" t="s">
        <v>164</v>
      </c>
      <c r="E16" s="1" t="s">
        <v>165</v>
      </c>
      <c r="F16" s="1" t="s">
        <v>166</v>
      </c>
      <c r="G16" s="1" t="s">
        <v>167</v>
      </c>
    </row>
    <row r="17" customFormat="false" ht="15.75" hidden="false" customHeight="true" outlineLevel="0" collapsed="false">
      <c r="A17" s="1" t="s">
        <v>159</v>
      </c>
      <c r="B17" s="1" t="s">
        <v>168</v>
      </c>
      <c r="C17" s="1" t="s">
        <v>118</v>
      </c>
      <c r="D17" s="1" t="s">
        <v>119</v>
      </c>
      <c r="E17" s="1" t="s">
        <v>169</v>
      </c>
      <c r="F17" s="1" t="s">
        <v>119</v>
      </c>
      <c r="G17" s="1" t="s">
        <v>119</v>
      </c>
    </row>
    <row r="18" customFormat="false" ht="61.5" hidden="false" customHeight="true" outlineLevel="0" collapsed="false">
      <c r="A18" s="1" t="s">
        <v>159</v>
      </c>
      <c r="B18" s="1" t="s">
        <v>170</v>
      </c>
      <c r="C18" s="1" t="s">
        <v>171</v>
      </c>
      <c r="D18" s="1" t="s">
        <v>172</v>
      </c>
      <c r="E18" s="1" t="s">
        <v>173</v>
      </c>
      <c r="F18" s="1" t="s">
        <v>174</v>
      </c>
      <c r="G18" s="1" t="s">
        <v>175</v>
      </c>
    </row>
    <row r="19" customFormat="false" ht="61.5" hidden="false" customHeight="true" outlineLevel="0" collapsed="false">
      <c r="A19" s="1" t="s">
        <v>159</v>
      </c>
      <c r="B19" s="1" t="s">
        <v>176</v>
      </c>
      <c r="C19" s="1" t="s">
        <v>177</v>
      </c>
      <c r="D19" s="1" t="s">
        <v>178</v>
      </c>
      <c r="E19" s="1" t="s">
        <v>179</v>
      </c>
      <c r="F19" s="1" t="s">
        <v>180</v>
      </c>
      <c r="G19" s="1" t="s">
        <v>181</v>
      </c>
    </row>
    <row r="20" customFormat="false" ht="61.5" hidden="false" customHeight="true" outlineLevel="0" collapsed="false">
      <c r="A20" s="1" t="s">
        <v>159</v>
      </c>
      <c r="B20" s="1" t="s">
        <v>182</v>
      </c>
      <c r="C20" s="1" t="s">
        <v>128</v>
      </c>
      <c r="D20" s="1" t="s">
        <v>183</v>
      </c>
      <c r="E20" s="1" t="s">
        <v>184</v>
      </c>
      <c r="F20" s="1" t="s">
        <v>185</v>
      </c>
      <c r="G20" s="1" t="s">
        <v>186</v>
      </c>
    </row>
    <row r="21" customFormat="false" ht="61.5" hidden="false" customHeight="true" outlineLevel="0" collapsed="false">
      <c r="A21" s="1" t="s">
        <v>159</v>
      </c>
      <c r="B21" s="1" t="s">
        <v>187</v>
      </c>
      <c r="C21" s="1" t="s">
        <v>134</v>
      </c>
      <c r="D21" s="1" t="s">
        <v>135</v>
      </c>
      <c r="E21" s="1" t="s">
        <v>188</v>
      </c>
      <c r="F21" s="1" t="s">
        <v>119</v>
      </c>
      <c r="G21" s="1" t="s">
        <v>138</v>
      </c>
    </row>
    <row r="22" customFormat="false" ht="61.5" hidden="false" customHeight="true" outlineLevel="0" collapsed="false">
      <c r="A22" s="1" t="s">
        <v>189</v>
      </c>
      <c r="B22" s="1" t="s">
        <v>105</v>
      </c>
      <c r="C22" s="1" t="s">
        <v>106</v>
      </c>
      <c r="D22" s="1" t="s">
        <v>190</v>
      </c>
      <c r="E22" s="1" t="s">
        <v>191</v>
      </c>
      <c r="F22" s="1" t="s">
        <v>192</v>
      </c>
      <c r="G22" s="1" t="s">
        <v>193</v>
      </c>
    </row>
    <row r="23" customFormat="false" ht="15.75" hidden="false" customHeight="true" outlineLevel="0" collapsed="false">
      <c r="A23" s="1" t="s">
        <v>189</v>
      </c>
      <c r="B23" s="1" t="s">
        <v>111</v>
      </c>
      <c r="C23" s="1" t="s">
        <v>112</v>
      </c>
      <c r="D23" s="1" t="s">
        <v>194</v>
      </c>
      <c r="E23" s="1" t="s">
        <v>195</v>
      </c>
      <c r="F23" s="1" t="s">
        <v>196</v>
      </c>
      <c r="G23" s="1" t="s">
        <v>197</v>
      </c>
    </row>
    <row r="24" customFormat="false" ht="61.5" hidden="false" customHeight="true" outlineLevel="0" collapsed="false">
      <c r="A24" s="1" t="s">
        <v>189</v>
      </c>
      <c r="B24" s="1" t="s">
        <v>117</v>
      </c>
      <c r="C24" s="1" t="s">
        <v>118</v>
      </c>
      <c r="D24" s="1" t="s">
        <v>119</v>
      </c>
      <c r="E24" s="1" t="s">
        <v>148</v>
      </c>
      <c r="F24" s="1" t="s">
        <v>119</v>
      </c>
      <c r="G24" s="1" t="s">
        <v>119</v>
      </c>
    </row>
    <row r="25" customFormat="false" ht="61.5" hidden="false" customHeight="true" outlineLevel="0" collapsed="false">
      <c r="A25" s="1" t="s">
        <v>189</v>
      </c>
      <c r="B25" s="1" t="s">
        <v>198</v>
      </c>
      <c r="C25" s="1" t="s">
        <v>171</v>
      </c>
      <c r="D25" s="1" t="s">
        <v>199</v>
      </c>
      <c r="E25" s="1" t="s">
        <v>200</v>
      </c>
      <c r="F25" s="1" t="s">
        <v>201</v>
      </c>
      <c r="G25" s="1" t="s">
        <v>202</v>
      </c>
    </row>
    <row r="26" customFormat="false" ht="61.5" hidden="false" customHeight="true" outlineLevel="0" collapsed="false">
      <c r="A26" s="1" t="s">
        <v>189</v>
      </c>
      <c r="B26" s="1" t="s">
        <v>203</v>
      </c>
      <c r="C26" s="1" t="s">
        <v>177</v>
      </c>
      <c r="D26" s="1" t="s">
        <v>204</v>
      </c>
      <c r="E26" s="1" t="s">
        <v>205</v>
      </c>
      <c r="F26" s="1" t="s">
        <v>206</v>
      </c>
      <c r="G26" s="1" t="s">
        <v>207</v>
      </c>
    </row>
    <row r="27" customFormat="false" ht="61.5" hidden="false" customHeight="true" outlineLevel="0" collapsed="false">
      <c r="A27" s="1" t="s">
        <v>189</v>
      </c>
      <c r="B27" s="1" t="s">
        <v>182</v>
      </c>
      <c r="C27" s="1" t="s">
        <v>128</v>
      </c>
      <c r="D27" s="1" t="s">
        <v>208</v>
      </c>
      <c r="E27" s="1" t="s">
        <v>209</v>
      </c>
      <c r="F27" s="1" t="s">
        <v>210</v>
      </c>
      <c r="G27" s="1" t="s">
        <v>211</v>
      </c>
    </row>
    <row r="28" customFormat="false" ht="61.5" hidden="false" customHeight="true" outlineLevel="0" collapsed="false">
      <c r="A28" s="1" t="s">
        <v>189</v>
      </c>
      <c r="B28" s="1" t="s">
        <v>187</v>
      </c>
      <c r="C28" s="1" t="s">
        <v>134</v>
      </c>
      <c r="D28" s="1" t="s">
        <v>135</v>
      </c>
      <c r="E28" s="1" t="s">
        <v>212</v>
      </c>
      <c r="F28" s="1" t="s">
        <v>119</v>
      </c>
      <c r="G28" s="1" t="s">
        <v>138</v>
      </c>
    </row>
    <row r="29" customFormat="false" ht="15.75" hidden="false" customHeight="true" outlineLevel="0" collapsed="false">
      <c r="A29" s="1" t="s">
        <v>213</v>
      </c>
      <c r="B29" s="1" t="s">
        <v>105</v>
      </c>
      <c r="C29" s="1" t="s">
        <v>106</v>
      </c>
      <c r="D29" s="1" t="s">
        <v>214</v>
      </c>
      <c r="E29" s="1" t="s">
        <v>215</v>
      </c>
      <c r="F29" s="1" t="s">
        <v>216</v>
      </c>
      <c r="G29" s="1" t="s">
        <v>217</v>
      </c>
    </row>
    <row r="30" customFormat="false" ht="61.5" hidden="false" customHeight="true" outlineLevel="0" collapsed="false">
      <c r="A30" s="1" t="s">
        <v>213</v>
      </c>
      <c r="B30" s="1" t="s">
        <v>111</v>
      </c>
      <c r="C30" s="1" t="s">
        <v>112</v>
      </c>
      <c r="D30" s="1" t="s">
        <v>218</v>
      </c>
      <c r="E30" s="1" t="s">
        <v>219</v>
      </c>
      <c r="F30" s="1" t="s">
        <v>220</v>
      </c>
      <c r="G30" s="1" t="s">
        <v>221</v>
      </c>
    </row>
    <row r="31" customFormat="false" ht="61.5" hidden="false" customHeight="true" outlineLevel="0" collapsed="false">
      <c r="A31" s="1" t="s">
        <v>213</v>
      </c>
      <c r="B31" s="1" t="s">
        <v>168</v>
      </c>
      <c r="C31" s="1" t="s">
        <v>118</v>
      </c>
      <c r="D31" s="1" t="s">
        <v>119</v>
      </c>
      <c r="E31" s="1" t="s">
        <v>222</v>
      </c>
      <c r="F31" s="1" t="s">
        <v>119</v>
      </c>
      <c r="G31" s="1" t="s">
        <v>119</v>
      </c>
    </row>
    <row r="32" customFormat="false" ht="61.5" hidden="false" customHeight="true" outlineLevel="0" collapsed="false">
      <c r="A32" s="1" t="s">
        <v>213</v>
      </c>
      <c r="B32" s="1" t="s">
        <v>223</v>
      </c>
      <c r="C32" s="1" t="s">
        <v>122</v>
      </c>
      <c r="D32" s="1" t="s">
        <v>224</v>
      </c>
      <c r="E32" s="1" t="s">
        <v>225</v>
      </c>
      <c r="F32" s="1" t="s">
        <v>226</v>
      </c>
      <c r="G32" s="1" t="s">
        <v>227</v>
      </c>
    </row>
    <row r="33" customFormat="false" ht="61.5" hidden="false" customHeight="true" outlineLevel="0" collapsed="false">
      <c r="A33" s="1" t="s">
        <v>213</v>
      </c>
      <c r="B33" s="1" t="s">
        <v>228</v>
      </c>
      <c r="C33" s="1" t="s">
        <v>128</v>
      </c>
      <c r="D33" s="1" t="s">
        <v>229</v>
      </c>
      <c r="E33" s="1" t="s">
        <v>230</v>
      </c>
      <c r="F33" s="1" t="s">
        <v>231</v>
      </c>
      <c r="G33" s="1" t="s">
        <v>232</v>
      </c>
    </row>
    <row r="34" customFormat="false" ht="15" hidden="false" customHeight="true" outlineLevel="0" collapsed="false">
      <c r="A34" s="1" t="s">
        <v>213</v>
      </c>
      <c r="B34" s="1" t="s">
        <v>187</v>
      </c>
      <c r="C34" s="1" t="s">
        <v>134</v>
      </c>
      <c r="D34" s="1" t="s">
        <v>135</v>
      </c>
      <c r="E34" s="1" t="s">
        <v>233</v>
      </c>
      <c r="F34" s="1" t="s">
        <v>119</v>
      </c>
      <c r="G34" s="1"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0"/>
    <col collapsed="false" customWidth="true" hidden="false" outlineLevel="0" max="4" min="4" style="1" width="22"/>
    <col collapsed="false" customWidth="true" hidden="false" outlineLevel="0" max="5" min="5" style="1" width="64"/>
    <col collapsed="false" customWidth="true" hidden="false" outlineLevel="0" max="6" min="6" style="1" width="16"/>
    <col collapsed="false" customWidth="true" hidden="false" outlineLevel="0" max="7" min="7" style="1" width="10"/>
    <col collapsed="false" customWidth="true" hidden="false" outlineLevel="0" max="8" min="8" style="1" width="52"/>
  </cols>
  <sheetData>
    <row r="1" customFormat="false" ht="17.25" hidden="false" customHeight="true" outlineLevel="0" collapsed="false">
      <c r="A1" s="2" t="s">
        <v>234</v>
      </c>
    </row>
    <row r="2" customFormat="false" ht="15" hidden="false" customHeight="true" outlineLevel="0" collapsed="false">
      <c r="A2" s="7" t="s">
        <v>235</v>
      </c>
      <c r="B2" s="7" t="s">
        <v>236</v>
      </c>
      <c r="C2" s="7" t="s">
        <v>237</v>
      </c>
      <c r="D2" s="7" t="s">
        <v>238</v>
      </c>
      <c r="E2" s="7" t="s">
        <v>239</v>
      </c>
      <c r="F2" s="7" t="s">
        <v>240</v>
      </c>
      <c r="G2" s="7" t="s">
        <v>241</v>
      </c>
      <c r="H2" s="7" t="s">
        <v>242</v>
      </c>
    </row>
    <row r="3" customFormat="false" ht="57.75" hidden="false" customHeight="true" outlineLevel="0" collapsed="false">
      <c r="A3" s="12" t="s">
        <v>243</v>
      </c>
      <c r="B3" s="12" t="s">
        <v>244</v>
      </c>
      <c r="C3" s="12" t="s">
        <v>245</v>
      </c>
      <c r="D3" s="12" t="s">
        <v>246</v>
      </c>
      <c r="E3" s="12" t="s">
        <v>247</v>
      </c>
      <c r="F3" s="11" t="s">
        <v>248</v>
      </c>
      <c r="G3" s="11" t="n">
        <f aca="false">SUMPRODUCT(--ISNUMBER(SEARCH("ALG-PS-01",'Scope &amp; Sequence'!$I$3:$I$7)))</f>
        <v>3</v>
      </c>
      <c r="H3" s="12" t="s">
        <v>249</v>
      </c>
    </row>
    <row r="4" customFormat="false" ht="57.75" hidden="false" customHeight="true" outlineLevel="0" collapsed="false">
      <c r="A4" s="12" t="s">
        <v>250</v>
      </c>
      <c r="B4" s="12" t="s">
        <v>244</v>
      </c>
      <c r="C4" s="12" t="s">
        <v>245</v>
      </c>
      <c r="D4" s="12" t="s">
        <v>251</v>
      </c>
      <c r="E4" s="12" t="s">
        <v>252</v>
      </c>
      <c r="F4" s="11" t="s">
        <v>213</v>
      </c>
      <c r="G4" s="11" t="n">
        <f aca="false">SUMPRODUCT(--ISNUMBER(SEARCH("ALG-IM-03",'Scope &amp; Sequence'!$I$3:$I$7)))</f>
        <v>1</v>
      </c>
      <c r="H4" s="12" t="s">
        <v>253</v>
      </c>
    </row>
    <row r="5" customFormat="false" ht="57.75" hidden="false" customHeight="true" outlineLevel="0" collapsed="false">
      <c r="A5" s="12" t="s">
        <v>254</v>
      </c>
      <c r="B5" s="12" t="s">
        <v>244</v>
      </c>
      <c r="C5" s="12" t="s">
        <v>255</v>
      </c>
      <c r="D5" s="12" t="s">
        <v>256</v>
      </c>
      <c r="E5" s="12" t="s">
        <v>257</v>
      </c>
      <c r="F5" s="11" t="s">
        <v>213</v>
      </c>
      <c r="G5" s="11" t="n">
        <f aca="false">SUMPRODUCT(--ISNUMBER(SEARCH("SYS-SE-13",'Scope &amp; Sequence'!$I$3:$I$7)))</f>
        <v>1</v>
      </c>
      <c r="H5" s="12" t="s">
        <v>258</v>
      </c>
    </row>
    <row r="6" customFormat="false" ht="57.75" hidden="false" customHeight="true" outlineLevel="0" collapsed="false">
      <c r="A6" s="20" t="s">
        <v>259</v>
      </c>
      <c r="B6" s="20" t="s">
        <v>260</v>
      </c>
      <c r="C6" s="12" t="s">
        <v>261</v>
      </c>
      <c r="D6" s="12" t="s">
        <v>262</v>
      </c>
      <c r="E6" s="12" t="s">
        <v>263</v>
      </c>
      <c r="F6" s="11" t="s">
        <v>264</v>
      </c>
      <c r="G6" s="11" t="n">
        <f aca="false">SUMPRODUCT(--ISNUMBER(SEARCH("PRO-PD",'Scope &amp; Sequence'!$I$3:$I$7)))</f>
        <v>4</v>
      </c>
      <c r="H6" s="12" t="s">
        <v>265</v>
      </c>
    </row>
    <row r="7" customFormat="false" ht="57.75" hidden="false" customHeight="true" outlineLevel="0" collapsed="false">
      <c r="A7" s="20" t="s">
        <v>266</v>
      </c>
      <c r="B7" s="20" t="s">
        <v>260</v>
      </c>
      <c r="C7" s="12" t="s">
        <v>261</v>
      </c>
      <c r="D7" s="12" t="s">
        <v>267</v>
      </c>
      <c r="E7" s="12" t="s">
        <v>268</v>
      </c>
      <c r="F7" s="11" t="s">
        <v>264</v>
      </c>
      <c r="G7" s="11" t="n">
        <f aca="false">SUMPRODUCT(--ISNUMBER(SEARCH("PRO-VD",'Scope &amp; Sequence'!$I$3:$I$7)))</f>
        <v>4</v>
      </c>
      <c r="H7" s="12" t="s">
        <v>269</v>
      </c>
    </row>
    <row r="8" customFormat="false" ht="57.75" hidden="false" customHeight="true" outlineLevel="0" collapsed="false">
      <c r="A8" s="20" t="s">
        <v>270</v>
      </c>
      <c r="B8" s="20" t="s">
        <v>260</v>
      </c>
      <c r="C8" s="12" t="s">
        <v>261</v>
      </c>
      <c r="D8" s="12" t="s">
        <v>271</v>
      </c>
      <c r="E8" s="12" t="s">
        <v>272</v>
      </c>
      <c r="F8" s="11" t="s">
        <v>273</v>
      </c>
      <c r="G8" s="11" t="n">
        <f aca="false">SUMPRODUCT(--ISNUMBER(SEARCH("PRO-RD",'Scope &amp; Sequence'!$I$3:$I$7)))</f>
        <v>3</v>
      </c>
      <c r="H8" s="12" t="s">
        <v>274</v>
      </c>
    </row>
    <row r="9" customFormat="false" ht="57.75" hidden="false" customHeight="true" outlineLevel="0" collapsed="false">
      <c r="A9" s="20" t="s">
        <v>275</v>
      </c>
      <c r="B9" s="20" t="s">
        <v>260</v>
      </c>
      <c r="C9" s="12" t="s">
        <v>261</v>
      </c>
      <c r="D9" s="12" t="s">
        <v>276</v>
      </c>
      <c r="E9" s="12" t="s">
        <v>277</v>
      </c>
      <c r="F9" s="11" t="s">
        <v>278</v>
      </c>
      <c r="G9" s="11" t="n">
        <f aca="false">SUMPRODUCT(--ISNUMBER(SEARCH("PRO-TR",'Scope &amp; Sequence'!$I$3:$I$7)))</f>
        <v>3</v>
      </c>
      <c r="H9" s="12" t="s">
        <v>279</v>
      </c>
    </row>
    <row r="10" customFormat="false" ht="57.75" hidden="false" customHeight="true" outlineLevel="0" collapsed="false">
      <c r="A10" s="13" t="s">
        <v>280</v>
      </c>
      <c r="B10" s="21" t="s">
        <v>281</v>
      </c>
    </row>
    <row r="11" customFormat="false" ht="27.75" hidden="false" customHeight="true" outlineLevel="0" collapsed="false">
      <c r="B11" s="22"/>
      <c r="C11" s="22"/>
      <c r="D11" s="22"/>
      <c r="E11" s="22"/>
      <c r="F11" s="22"/>
      <c r="G11" s="22"/>
      <c r="H11" s="22"/>
    </row>
    <row r="12" customFormat="false" ht="15" hidden="false" customHeight="true" outlineLevel="0" collapsed="false">
      <c r="A12" s="4" t="s">
        <v>282</v>
      </c>
    </row>
    <row r="13" customFormat="false" ht="15" hidden="false" customHeight="true" outlineLevel="0" collapsed="false">
      <c r="A13" s="10" t="s">
        <v>283</v>
      </c>
    </row>
    <row r="14" customFormat="false" ht="27.75" hidden="false" customHeight="true" outlineLevel="0" collapsed="false">
      <c r="A14" s="5" t="s">
        <v>284</v>
      </c>
      <c r="B14" s="5"/>
      <c r="C14" s="5"/>
      <c r="D14" s="5"/>
      <c r="E14" s="5"/>
      <c r="F14" s="5"/>
      <c r="G14" s="5"/>
      <c r="H14" s="5"/>
    </row>
    <row r="15" customFormat="false" ht="27.75" hidden="false" customHeight="true" outlineLevel="0" collapsed="false">
      <c r="A15" s="5" t="s">
        <v>285</v>
      </c>
      <c r="B15" s="5"/>
      <c r="C15" s="5"/>
      <c r="D15" s="5"/>
      <c r="E15" s="5"/>
      <c r="F15" s="5"/>
      <c r="G15" s="5"/>
      <c r="H15" s="5"/>
    </row>
    <row r="16" customFormat="false" ht="27.75" hidden="false" customHeight="true" outlineLevel="0" collapsed="false">
      <c r="A16" s="5" t="s">
        <v>286</v>
      </c>
      <c r="B16" s="5"/>
      <c r="C16" s="5"/>
      <c r="D16" s="5"/>
      <c r="E16" s="5"/>
      <c r="F16" s="5"/>
      <c r="G16" s="5"/>
      <c r="H16" s="5"/>
    </row>
    <row r="18" customFormat="false" ht="30" hidden="false" customHeight="true" outlineLevel="0" collapsed="false">
      <c r="A18" s="3" t="s">
        <v>287</v>
      </c>
      <c r="B18" s="3"/>
      <c r="C18" s="3"/>
      <c r="D18" s="3"/>
      <c r="E18" s="3"/>
      <c r="F18" s="3"/>
      <c r="G18" s="3"/>
      <c r="H18" s="3"/>
    </row>
  </sheetData>
  <mergeCells count="5">
    <mergeCell ref="B11:H11"/>
    <mergeCell ref="A14:H14"/>
    <mergeCell ref="A15:H15"/>
    <mergeCell ref="A16:H16"/>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46"/>
    <col collapsed="false" customWidth="true" hidden="false" outlineLevel="0" max="4" min="4" style="1" width="42"/>
    <col collapsed="false" customWidth="true" hidden="false" outlineLevel="0" max="6" min="5" style="1" width="44"/>
  </cols>
  <sheetData>
    <row r="1" customFormat="false" ht="17.25" hidden="false" customHeight="true" outlineLevel="0" collapsed="false">
      <c r="A1" s="2" t="s">
        <v>288</v>
      </c>
    </row>
    <row r="2" customFormat="false" ht="15" hidden="false" customHeight="true" outlineLevel="0" collapsed="false">
      <c r="A2" s="7" t="s">
        <v>39</v>
      </c>
      <c r="B2" s="7" t="s">
        <v>289</v>
      </c>
      <c r="C2" s="7" t="s">
        <v>290</v>
      </c>
      <c r="D2" s="7" t="s">
        <v>291</v>
      </c>
      <c r="E2" s="7" t="s">
        <v>292</v>
      </c>
      <c r="F2" s="7" t="s">
        <v>293</v>
      </c>
    </row>
    <row r="3" customFormat="false" ht="43.5" hidden="false" customHeight="true" outlineLevel="0" collapsed="false">
      <c r="A3" s="11" t="n">
        <v>1</v>
      </c>
      <c r="B3" s="12" t="s">
        <v>294</v>
      </c>
      <c r="C3" s="12" t="s">
        <v>295</v>
      </c>
      <c r="D3" s="12" t="s">
        <v>296</v>
      </c>
      <c r="E3" s="12" t="s">
        <v>297</v>
      </c>
      <c r="F3" s="12" t="s">
        <v>298</v>
      </c>
    </row>
    <row r="4" customFormat="false" ht="43.5" hidden="false" customHeight="true" outlineLevel="0" collapsed="false">
      <c r="A4" s="11" t="n">
        <v>1</v>
      </c>
      <c r="B4" s="12" t="s">
        <v>299</v>
      </c>
      <c r="C4" s="12" t="s">
        <v>300</v>
      </c>
      <c r="D4" s="12" t="s">
        <v>301</v>
      </c>
      <c r="E4" s="12" t="s">
        <v>302</v>
      </c>
      <c r="F4" s="12" t="s">
        <v>303</v>
      </c>
    </row>
    <row r="5" customFormat="false" ht="43.5" hidden="false" customHeight="true" outlineLevel="0" collapsed="false">
      <c r="A5" s="11" t="n">
        <v>1</v>
      </c>
      <c r="B5" s="12" t="s">
        <v>304</v>
      </c>
      <c r="C5" s="12" t="s">
        <v>305</v>
      </c>
      <c r="D5" s="12" t="s">
        <v>306</v>
      </c>
      <c r="E5" s="12" t="s">
        <v>307</v>
      </c>
      <c r="F5" s="12" t="s">
        <v>308</v>
      </c>
    </row>
    <row r="6" customFormat="false" ht="43.5" hidden="false" customHeight="true" outlineLevel="0" collapsed="false">
      <c r="A6" s="11" t="n">
        <v>1</v>
      </c>
      <c r="B6" s="12" t="s">
        <v>309</v>
      </c>
      <c r="C6" s="12" t="s">
        <v>310</v>
      </c>
      <c r="D6" s="12" t="s">
        <v>311</v>
      </c>
      <c r="E6" s="12" t="s">
        <v>312</v>
      </c>
      <c r="F6" s="12" t="s">
        <v>313</v>
      </c>
    </row>
    <row r="7" customFormat="false" ht="43.5" hidden="false" customHeight="true" outlineLevel="0" collapsed="false">
      <c r="A7" s="11" t="n">
        <v>1</v>
      </c>
      <c r="B7" s="12" t="s">
        <v>314</v>
      </c>
      <c r="C7" s="12" t="s">
        <v>315</v>
      </c>
      <c r="D7" s="12" t="s">
        <v>316</v>
      </c>
      <c r="E7" s="12" t="s">
        <v>317</v>
      </c>
      <c r="F7" s="12" t="s">
        <v>318</v>
      </c>
    </row>
    <row r="8" customFormat="false" ht="43.5" hidden="false" customHeight="true" outlineLevel="0" collapsed="false">
      <c r="A8" s="11" t="n">
        <v>2</v>
      </c>
      <c r="B8" s="12" t="s">
        <v>319</v>
      </c>
      <c r="C8" s="12" t="s">
        <v>320</v>
      </c>
      <c r="D8" s="12" t="s">
        <v>321</v>
      </c>
      <c r="E8" s="12" t="s">
        <v>322</v>
      </c>
      <c r="F8" s="12" t="s">
        <v>323</v>
      </c>
    </row>
    <row r="9" customFormat="false" ht="43.5" hidden="false" customHeight="true" outlineLevel="0" collapsed="false">
      <c r="A9" s="11" t="n">
        <v>2</v>
      </c>
      <c r="B9" s="12" t="s">
        <v>324</v>
      </c>
      <c r="C9" s="12" t="s">
        <v>325</v>
      </c>
      <c r="D9" s="12" t="s">
        <v>326</v>
      </c>
      <c r="E9" s="12" t="s">
        <v>327</v>
      </c>
      <c r="F9" s="12" t="s">
        <v>328</v>
      </c>
    </row>
    <row r="10" customFormat="false" ht="43.5" hidden="false" customHeight="true" outlineLevel="0" collapsed="false">
      <c r="A10" s="11" t="n">
        <v>2</v>
      </c>
      <c r="B10" s="12" t="s">
        <v>329</v>
      </c>
      <c r="C10" s="12" t="s">
        <v>330</v>
      </c>
      <c r="D10" s="12" t="s">
        <v>331</v>
      </c>
      <c r="E10" s="12" t="s">
        <v>332</v>
      </c>
      <c r="F10" s="12" t="s">
        <v>333</v>
      </c>
    </row>
    <row r="11" customFormat="false" ht="43.5" hidden="false" customHeight="true" outlineLevel="0" collapsed="false">
      <c r="A11" s="11" t="n">
        <v>2</v>
      </c>
      <c r="B11" s="12" t="s">
        <v>334</v>
      </c>
      <c r="C11" s="12" t="s">
        <v>335</v>
      </c>
      <c r="D11" s="12" t="s">
        <v>336</v>
      </c>
      <c r="E11" s="12" t="s">
        <v>337</v>
      </c>
      <c r="F11" s="12" t="s">
        <v>338</v>
      </c>
    </row>
    <row r="12" customFormat="false" ht="43.5" hidden="false" customHeight="true" outlineLevel="0" collapsed="false">
      <c r="A12" s="11" t="s">
        <v>339</v>
      </c>
      <c r="B12" s="12" t="s">
        <v>340</v>
      </c>
      <c r="C12" s="12" t="s">
        <v>341</v>
      </c>
      <c r="D12" s="12" t="s">
        <v>342</v>
      </c>
      <c r="E12" s="12" t="s">
        <v>343</v>
      </c>
      <c r="F12" s="12" t="s">
        <v>344</v>
      </c>
    </row>
    <row r="13" customFormat="false" ht="43.5" hidden="false" customHeight="true" outlineLevel="0" collapsed="false">
      <c r="A13" s="11" t="s">
        <v>139</v>
      </c>
      <c r="B13" s="12" t="s">
        <v>345</v>
      </c>
      <c r="C13" s="12" t="s">
        <v>346</v>
      </c>
      <c r="D13" s="12" t="s">
        <v>347</v>
      </c>
      <c r="E13" s="12" t="s">
        <v>348</v>
      </c>
      <c r="F13" s="12" t="s">
        <v>349</v>
      </c>
    </row>
    <row r="14" customFormat="false" ht="43.5" hidden="false" customHeight="true" outlineLevel="0" collapsed="false">
      <c r="A14" s="11" t="s">
        <v>159</v>
      </c>
      <c r="B14" s="12" t="s">
        <v>350</v>
      </c>
      <c r="C14" s="12" t="s">
        <v>351</v>
      </c>
      <c r="D14" s="12" t="s">
        <v>352</v>
      </c>
      <c r="E14" s="12" t="s">
        <v>353</v>
      </c>
      <c r="F14" s="12" t="s">
        <v>354</v>
      </c>
    </row>
    <row r="15" customFormat="false" ht="23.25" hidden="false" customHeight="true" outlineLevel="0" collapsed="false">
      <c r="A15" s="11" t="s">
        <v>159</v>
      </c>
      <c r="B15" s="12" t="s">
        <v>355</v>
      </c>
      <c r="C15" s="12" t="s">
        <v>356</v>
      </c>
      <c r="D15" s="12" t="s">
        <v>357</v>
      </c>
      <c r="E15" s="12" t="s">
        <v>358</v>
      </c>
      <c r="F15" s="12" t="s">
        <v>359</v>
      </c>
    </row>
    <row r="16" customFormat="false" ht="23.25" hidden="false" customHeight="true" outlineLevel="0" collapsed="false">
      <c r="A16" s="11" t="s">
        <v>189</v>
      </c>
      <c r="B16" s="12" t="s">
        <v>360</v>
      </c>
      <c r="C16" s="12" t="s">
        <v>361</v>
      </c>
      <c r="D16" s="12" t="s">
        <v>362</v>
      </c>
      <c r="E16" s="12" t="s">
        <v>363</v>
      </c>
      <c r="F16" s="12" t="s">
        <v>364</v>
      </c>
    </row>
    <row r="17" customFormat="false" ht="15" hidden="false" customHeight="true" outlineLevel="0" collapsed="false">
      <c r="A17" s="1" t="s">
        <v>213</v>
      </c>
      <c r="B17" s="1" t="s">
        <v>365</v>
      </c>
      <c r="C17" s="1" t="s">
        <v>366</v>
      </c>
      <c r="D17" s="1"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42"/>
    <col collapsed="false" customWidth="true" hidden="false" outlineLevel="0" max="4" min="4" style="1" width="46"/>
    <col collapsed="false" customWidth="true" hidden="false" outlineLevel="0" max="5" min="5" style="1" width="48"/>
  </cols>
  <sheetData>
    <row r="1" customFormat="false" ht="17.25" hidden="false" customHeight="true" outlineLevel="0" collapsed="false">
      <c r="A1" s="2" t="s">
        <v>368</v>
      </c>
    </row>
    <row r="3" customFormat="false" ht="15" hidden="false" customHeight="true" outlineLevel="0" collapsed="false">
      <c r="A3" s="4" t="s">
        <v>369</v>
      </c>
    </row>
    <row r="4" customFormat="false" ht="15" hidden="false" customHeight="true" outlineLevel="0" collapsed="false">
      <c r="A4" s="7" t="s">
        <v>370</v>
      </c>
      <c r="B4" s="7" t="s">
        <v>371</v>
      </c>
      <c r="C4" s="7" t="s">
        <v>372</v>
      </c>
      <c r="D4" s="7" t="s">
        <v>373</v>
      </c>
      <c r="E4" s="7" t="s">
        <v>374</v>
      </c>
    </row>
    <row r="5" customFormat="false" ht="39.75" hidden="false" customHeight="true" outlineLevel="0" collapsed="false">
      <c r="A5" s="23" t="s">
        <v>375</v>
      </c>
      <c r="B5" s="12" t="s">
        <v>376</v>
      </c>
      <c r="C5" s="12" t="s">
        <v>377</v>
      </c>
      <c r="D5" s="12" t="s">
        <v>378</v>
      </c>
      <c r="E5" s="12" t="s">
        <v>379</v>
      </c>
    </row>
    <row r="6" customFormat="false" ht="39.75" hidden="false" customHeight="true" outlineLevel="0" collapsed="false">
      <c r="A6" s="23" t="s">
        <v>380</v>
      </c>
      <c r="B6" s="12" t="s">
        <v>381</v>
      </c>
      <c r="C6" s="12" t="s">
        <v>382</v>
      </c>
      <c r="D6" s="12" t="s">
        <v>383</v>
      </c>
      <c r="E6" s="12" t="s">
        <v>384</v>
      </c>
    </row>
    <row r="7" customFormat="false" ht="39.75" hidden="false" customHeight="true" outlineLevel="0" collapsed="false">
      <c r="A7" s="23" t="s">
        <v>385</v>
      </c>
      <c r="B7" s="12" t="s">
        <v>386</v>
      </c>
      <c r="C7" s="12" t="s">
        <v>387</v>
      </c>
      <c r="D7" s="12" t="s">
        <v>388</v>
      </c>
      <c r="E7" s="12" t="s">
        <v>389</v>
      </c>
    </row>
    <row r="8" customFormat="false" ht="39.75" hidden="false" customHeight="true" outlineLevel="0" collapsed="false">
      <c r="A8" s="23" t="s">
        <v>390</v>
      </c>
      <c r="B8" s="12" t="s">
        <v>391</v>
      </c>
      <c r="C8" s="12" t="s">
        <v>392</v>
      </c>
      <c r="D8" s="12" t="s">
        <v>393</v>
      </c>
      <c r="E8" s="12" t="s">
        <v>394</v>
      </c>
    </row>
    <row r="9" customFormat="false" ht="39.75" hidden="false" customHeight="true" outlineLevel="0" collapsed="false">
      <c r="A9" s="23" t="s">
        <v>395</v>
      </c>
      <c r="B9" s="12" t="s">
        <v>396</v>
      </c>
      <c r="C9" s="12" t="s">
        <v>397</v>
      </c>
      <c r="D9" s="12" t="s">
        <v>398</v>
      </c>
      <c r="E9" s="12" t="s">
        <v>399</v>
      </c>
    </row>
    <row r="11" customFormat="false" ht="15" hidden="false" customHeight="true" outlineLevel="0" collapsed="false">
      <c r="A11" s="4" t="s">
        <v>400</v>
      </c>
    </row>
    <row r="12" customFormat="false" ht="42" hidden="false" customHeight="true" outlineLevel="0" collapsed="false">
      <c r="A12" s="5" t="s">
        <v>401</v>
      </c>
      <c r="B12" s="5"/>
      <c r="C12" s="5"/>
      <c r="D12" s="5"/>
      <c r="E12" s="5"/>
    </row>
    <row r="13" customFormat="false" ht="42" hidden="false" customHeight="true" outlineLevel="0" collapsed="false">
      <c r="A13" s="5" t="s">
        <v>402</v>
      </c>
      <c r="B13" s="5"/>
      <c r="C13" s="5"/>
      <c r="D13" s="5"/>
      <c r="E13" s="5"/>
    </row>
    <row r="14" customFormat="false" ht="42" hidden="false" customHeight="true" outlineLevel="0" collapsed="false">
      <c r="A14" s="5" t="s">
        <v>403</v>
      </c>
      <c r="B14" s="5"/>
      <c r="C14" s="5"/>
      <c r="D14" s="5"/>
      <c r="E14" s="5"/>
    </row>
    <row r="15" customFormat="false" ht="42" hidden="false" customHeight="true" outlineLevel="0" collapsed="false">
      <c r="A15" s="5" t="s">
        <v>404</v>
      </c>
      <c r="B15" s="5"/>
      <c r="C15" s="5"/>
      <c r="D15" s="5"/>
      <c r="E15" s="5"/>
    </row>
    <row r="16" customFormat="false" ht="42" hidden="false" customHeight="true" outlineLevel="0" collapsed="false">
      <c r="A16" s="5" t="s">
        <v>405</v>
      </c>
      <c r="B16" s="5"/>
      <c r="C16" s="5"/>
      <c r="D16" s="5"/>
      <c r="E16" s="5"/>
    </row>
  </sheetData>
  <mergeCells count="5">
    <mergeCell ref="A12:E12"/>
    <mergeCell ref="A13:E13"/>
    <mergeCell ref="A14:E14"/>
    <mergeCell ref="A15:E15"/>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2026-07-23T18:49:26Z</dcterms:created>
  <dc:creator>openpyxl</dc:creator>
  <dc:description/>
  <dc:language>en-US</dc:language>
  <cp:lastModifiedBy/>
  <dcterms:modified xsi:type="dcterms:W3CDTF">2026-07-26T16:16:43Z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