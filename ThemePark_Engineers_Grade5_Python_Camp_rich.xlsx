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<sst xmlns="http://schemas.openxmlformats.org/spreadsheetml/2006/main" count="479" uniqueCount="399">
  <si>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</si>
  <si>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</si>
  <si>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</si>
  <si>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</si>
  <si>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</si>
  <si>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</si>
  <si>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</si>
  <si>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</si>
  <si>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</si>
  <si>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</si>
  <si>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</si>
  <si>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</si>
  <si>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</si>
  <si>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</si>
  <si>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</si>
  <si>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</si>
  <si>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</si>
  <si>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</si>
  <si>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</si>
  <si>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</si>
  <si>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</si>
  <si>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</si>
  <si>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</si>
  <si>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</si>
  <si>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</si>
  <si>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</si>
  <si>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</si>
  <si>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One machine-learning block is included because the 2026 standards require it at grade 5. It uses a no-code training tool; it is not a Python block.</t>
  </si>
  <si>
    <t xml:space="preserve">pygame is the one third-party package (pip install pygame). It draws the Day-4 coaster at 60 frames a second; on managed machines the install can need an IT ticket, so verify it on real camp hardware by Tuesday. The turtle edition of the coaster needs no install and is the full fallback.</t>
  </si>
  <si>
    <t xml:space="preserve">PACING CAUTION FOR THE CAMP FORMAT</t>
  </si>
  <si>
    <t xml:space="preserve">Compression trades spaced practice for momentum. A weekly course gets fifteen nights of sleep between iteration and functions; this camp gets two. Expect Day 4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</si>
  <si>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</si>
  <si>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</si>
  <si>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</si>
  <si>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</si>
  <si>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</si>
  <si>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</si>
  <si>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</si>
  <si>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</si>
  <si>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</si>
  <si>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</si>
  <si>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</si>
  <si>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</si>
  <si>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</si>
  <si>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</si>
  <si>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</si>
  <si>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</si>
  <si>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</si>
  <si>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</si>
  <si>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</si>
  <si>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Input &amp; Loops</t>
  </si>
  <si>
    <t xml:space="preserve">Monday 1:00-4:00</t>
  </si>
  <si>
    <t xml:space="preserve">How do I make a computer do exactly what I say - and repeat it without repeating myself?</t>
  </si>
  <si>
    <t xml:space="preserve">Run a Python program and read its output; identify a syntax error from a traceback and correct it; assign and reassign variables with meaningful names; retrieve typed input and convert it with int(); build an f-string receipt; use a for loop with range() to repeat drawing steps; calculate any polygon's turn angle as 360/sides.</t>
  </si>
  <si>
    <t xml:space="preserve">print(), strings, comments (#), variables, input(), int(), f-strings, turtle, for, range()</t>
  </si>
  <si>
    <t xml:space="preserve">Park marquee + Ticket Booth greeter + polygon coaster track drawn with a loop</t>
  </si>
  <si>
    <t xml:space="preserve">PRO-PD; PRO-TR; PRO-VD; ALG-PS-01</t>
  </si>
  <si>
    <t xml:space="preserve">Cold-call: predict the output before running. Trace table for the ticket-price program. Class track-geometry chart (360/sides).</t>
  </si>
  <si>
    <t xml:space="preserve">Believing the computer infers intent. Reading = as 'equals' rather than 'gets'. Believing the loop body runs once. Using the interior angle instead of 360/sides.</t>
  </si>
  <si>
    <t xml:space="preserve">Safety Gates &amp; the Midway - Selection &amp; Lists</t>
  </si>
  <si>
    <t xml:space="preserve">Tuesday 1:00-4:00</t>
  </si>
  <si>
    <t xml:space="preserve">How does a program make a decision, and how does it hold many values at once?</t>
  </si>
  <si>
    <t xml:space="preserve">Write conditions using comparison operators; branch with if / elif / else; explain why only one branch executes; combine a loop with a conditional; create a list and access an element by index; explain zero-based indexing; iterate over a list with a for loop.</t>
  </si>
  <si>
    <t xml:space="preserve">if / elif / else, ==, &lt;, &gt;, booleans, lists, indexing, len()</t>
  </si>
  <si>
    <t xml:space="preserve">Ride safety gate (height check) + midway guessing game with hot/cold hints + printed ride roster</t>
  </si>
  <si>
    <t xml:space="preserve">ALG-PS-01; PRO-PD; PRO-VD</t>
  </si>
  <si>
    <t xml:space="preserve">Sort 'tall enough to ride?' scenario cards into True/False before coding. Index hunt on the ride queue. Class Card 01: the coaster track-list preview.</t>
  </si>
  <si>
    <t xml:space="preserve">Confusing = with ==. Lists start at 1 - label the first queue spot 0 and let the discomfort sit.</t>
  </si>
  <si>
    <t xml:space="preserve">The Prize Wheel &amp; Blueprint Stamps - Randomness &amp; Functions</t>
  </si>
  <si>
    <t xml:space="preserve">Wednesday 1:00-4:00</t>
  </si>
  <si>
    <t xml:space="preserve">How do I add surprise, and how do I name a thing I do over and over?</t>
  </si>
  <si>
    <t xml:space="preserve">Select a random element with random.choice(); define a function with def and call it by name; pass a parameter to change its behavior; refactor copied drawing code into draw_wheel(spokes, size).</t>
  </si>
  <si>
    <t xml:space="preserve">random.choice(), def, parameters, function calls</t>
  </si>
  <si>
    <t xml:space="preserve">Prize-wheel booth program + refactored draw_wheel() blueprint stamp</t>
  </si>
  <si>
    <t xml:space="preserve">PRO-RD; PRO-VD; ALG-PS-01; PRO-PD</t>
  </si>
  <si>
    <t xml:space="preserve">Give students working code and ask which lines repeat. Run the defined-but-never-called function and sit with the silence. Class Card 02: the sqrt ladder + Fury 325 check.</t>
  </si>
  <si>
    <t xml:space="preserve">Defining is calling - show the silent no-output run and let them diagnose it. A list is a single value - the list is the shelf, the index picks the ride.</t>
  </si>
  <si>
    <t xml:space="preserve">The Coaster Build - Capstone</t>
  </si>
  <si>
    <t xml:space="preserve">Thursday 1:00-4:00</t>
  </si>
  <si>
    <t xml:space="preserve">Can I plan, build, and soft-launch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</si>
  <si>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at a one-partner soft launch; read a traceback and debug independently during the build.</t>
  </si>
  <si>
    <t xml:space="preserve">None new - the pygame coaster engine is provided read-only (math.sqrt and the track list previewed on Days 2-3); student-selected review</t>
  </si>
  <si>
    <t xml:space="preserve">Operator's Booth + student-designed coaster track (Version 1 -&gt; Version 2), soft-launched for one guest</t>
  </si>
  <si>
    <t xml:space="preserve">ALG-PS-01; PRO-PD; PRO-VD; PRO-RD; PRO-TR</t>
  </si>
  <si>
    <t xml:space="preserve">Blueprint approved before any code - a new track list alone is not a capstone. Ride Log Grid A checked live against the dashboard. Soft-launch diagnosis on the Maintenance slip.</t>
  </si>
  <si>
    <t xml:space="preserve">Believing a new track list alone is a capstone - the booth is the program, the coaster is the finale. Scope creep - cap it: one screen, one loop, one decision.</t>
  </si>
  <si>
    <t xml:space="preserve">Grand Opening - Fix, Polish, Present</t>
  </si>
  <si>
    <t xml:space="preserve">Friday 1:00-4:00</t>
  </si>
  <si>
    <t xml:space="preserve">Can I repair my own build - and open it to the public?</t>
  </si>
  <si>
    <t xml:space="preserve">Independently diagnose and fix errors in their own program by reading the error first; ship one tested upgrade or polish pass; present a live walkthrough narrating the three physics lines; name a human-centered design choice and who it serves or excludes; discuss who can see, change, or reach a program (the CIA triad).</t>
  </si>
  <si>
    <t xml:space="preserve">None new - review and repair; stretch: a friction term in the drop line, a random.choice mystery track</t>
  </si>
  <si>
    <t xml:space="preserve">The repaired, polished attraction + Grand Opening walkthrough + reflection slip</t>
  </si>
  <si>
    <t xml:space="preserve">PRO-TR; PRO-PD; PRO-RD; ALG-IM-03; SYS-SE-13</t>
  </si>
  <si>
    <t xml:space="preserve">Debugging log collected at the clinic; reflection slip collected at the walkthrough.</t>
  </si>
  <si>
    <t xml:space="preserve">Believing stuck means failure - Friday-morning stuck is the plan working. Fixing without reading the error.</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</si>
  <si>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</si>
  <si>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</si>
  <si>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</si>
  <si>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</si>
  <si>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</si>
  <si>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</si>
  <si>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</si>
  <si>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</si>
  <si>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</si>
  <si>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</si>
  <si>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</si>
  <si>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</si>
  <si>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 + robot walk</t>
  </si>
  <si>
    <t xml:space="preserve">Welcome to the crew: campers are Loopline Park's new junior engineers. Show three short programs; ask which will run and why. Establish the week's rule: the computer does not guess. Then the robot walk: students direct the teacher around a square coaster track taped on the floor - count the instructions.</t>
  </si>
  <si>
    <t xml:space="preserve">Thumbs vote on each program; how many instructions did the square take?</t>
  </si>
  <si>
    <t xml:space="preserve">Editor accounts pre-created and tested; floor tape for the track; crew badges (optional)</t>
  </si>
  <si>
    <t xml:space="preserve">1:15-2:10</t>
  </si>
  <si>
    <t xml:space="preserve">Build Block A</t>
  </si>
  <si>
    <t xml:space="preserve">print(), tracebacks &amp; variables</t>
  </si>
  <si>
    <t xml:space="preserve">Type and run a print() greeting for the park gate. Break it on purpose (drop a quote, misspell print), read the traceback last line first, fix it. Build the marquee with comments. Then the labeled-box demo: assign three variables, print, reassign one, print again - = means gets.</t>
  </si>
  <si>
    <t xml:space="preserve">Collect the error messages seen; after price = 20 then price = 15, what does price hold?</t>
  </si>
  <si>
    <t xml:space="preserve">Printed traceback reference card; trace-table handout</t>
  </si>
  <si>
    <t xml:space="preserve">2:10-2:25</t>
  </si>
  <si>
    <t xml:space="preserve">Fast-Pass Break</t>
  </si>
  <si>
    <t xml:space="preserve">-</t>
  </si>
  <si>
    <t xml:space="preserve">Movement break, away from screens.</t>
  </si>
  <si>
    <t xml:space="preserve">2:25-3:25</t>
  </si>
  <si>
    <t xml:space="preserve">Build Block B</t>
  </si>
  <si>
    <t xml:space="preserve">input(), int(), f-strings - then the turtle</t>
  </si>
  <si>
    <t xml:space="preserve">The Ticket Booth: greet the guest, ask tickets, hit the '2' + '3' bug, convert at the door with int(), print the f-string receipt. Then the drafting turtle: draw the square track the long way (eight lines), count the copies, rewrite with for and range(), and unlock any polygon with 360 / sides.</t>
  </si>
  <si>
    <t xml:space="preserve">Trace table for the ticket program. What angle for an octagon track?</t>
  </si>
  <si>
    <t xml:space="preserve">Ticket-price sign; turtle command reference; sides/angle chart poster</t>
  </si>
  <si>
    <t xml:space="preserve">3:25-3:50</t>
  </si>
  <si>
    <t xml:space="preserve">Test Ride</t>
  </si>
  <si>
    <t xml:space="preserve">Share &amp; debrief</t>
  </si>
  <si>
    <t xml:space="preserve">Gallery walk of marquees and polygon tracks on the projector. Two volunteers run their Ticket Booth live with a classmate as the guest. Each camper names their track's sides and its 360/sides angle.</t>
  </si>
  <si>
    <t xml:space="preserve">Ask the room: what does the # symbol do - and why 360 / sides?</t>
  </si>
  <si>
    <t xml:space="preserve">Projector rotation list</t>
  </si>
  <si>
    <t xml:space="preserve">3:50-4:00</t>
  </si>
  <si>
    <t xml:space="preserve">Maintenance Log</t>
  </si>
  <si>
    <t xml:space="preserve">Exit ticket</t>
  </si>
  <si>
    <t xml:space="preserve">Two questions on paper: after price = 20 then price = 15, what does price hold? What angle does the turtle turn for an octagon?</t>
  </si>
  <si>
    <t xml:space="preserve">Sorted into reteach / go piles before Tuesday.</t>
  </si>
  <si>
    <t xml:space="preserve">Paper slips</t>
  </si>
  <si>
    <t xml:space="preserve">Re-trace + card sort</t>
  </si>
  <si>
    <t xml:space="preserve">Re-trace Monday: one volunteer narrates the square-track loop pass by pass. Then sort 'tall enough to ride?' scenario cards into True and False piles.</t>
  </si>
  <si>
    <t xml:space="preserve">Read each condition aloud as a question: 'is height over 48?'</t>
  </si>
  <si>
    <t xml:space="preserve">Scenario cards</t>
  </si>
  <si>
    <t xml:space="preserve">if / elif / else</t>
  </si>
  <si>
    <t xml:space="preserve">Build the Ride Safety Gate: if/else on a height check ('you must be 48 inches to ride The Comet'), then add elif for a three-way band: child rides, family rides, thrill rides. Say == aloud as 'is it the same as?'</t>
  </si>
  <si>
    <t xml:space="preserve">Why did only one branch print?</t>
  </si>
  <si>
    <t xml:space="preserve">Height-check starter file; == vs = color-coded card</t>
  </si>
  <si>
    <t xml:space="preserve">Movement break.</t>
  </si>
  <si>
    <t xml:space="preserve">Loop + conditional, then lists</t>
  </si>
  <si>
    <t xml:space="preserve">Build the Midway guessing game with hot/cold hints inside a counted loop - play a classmate's booth. Then lists: numbered cups as the ride queue, first spot labeled 0. Close with the coaster preview (Class Card 01): the track list - len(track), track[0], track[7], and last index = len() minus one.</t>
  </si>
  <si>
    <t xml:space="preserve">Where does the condition live relative to the loop? Why does the last index equal len() minus one?</t>
  </si>
  <si>
    <t xml:space="preserve">Game starter file; numbered cups or cards; Class Card 01 printed</t>
  </si>
  <si>
    <t xml:space="preserve">Play the midway</t>
  </si>
  <si>
    <t xml:space="preserve">Campers rotate and play two classmates' guessing-game booths (two, not four - Block B runs long with the coaster preview). Index hunt on the roster: teacher points at a ride, campers name its index.</t>
  </si>
  <si>
    <t xml:space="preserve">Name one bug you fixed today.</t>
  </si>
  <si>
    <t xml:space="preserve">Rotation timer</t>
  </si>
  <si>
    <t xml:space="preserve">Write the condition for 'height is over 48'. For a 4-ride roster, what is the last index?</t>
  </si>
  <si>
    <t xml:space="preserve">Reteach flag: = written where == belongs.</t>
  </si>
  <si>
    <t xml:space="preserve">Re-trace + prize draw</t>
  </si>
  <si>
    <t xml:space="preserve">Re-trace Tuesday: trace the safety gate with one specific height. Then draw a prize from a hat: why is it different each time?</t>
  </si>
  <si>
    <t xml:space="preserve">Predict-the-output warm-up on two snippets.</t>
  </si>
  <si>
    <t xml:space="preserve">Hat + prize slips</t>
  </si>
  <si>
    <t xml:space="preserve">random.choice() + the speed of falling</t>
  </si>
  <si>
    <t xml:space="preserve">Build the Prize Wheel booth: random.choice() on a camper-written prize list. Run it five times - why different each run? Then Class Card 02, whole-class: the speed of falling - the math.sqrt ladder (drop 20 / 40 / 80) and the Fury 325 reality check (99 m predicts 99 mph; the real ride tops at 95 - name where the missing 4 mph go).</t>
  </si>
  <si>
    <t xml:space="preserve">What does random.choice() return? What did drop = 40 print?</t>
  </si>
  <si>
    <t xml:space="preserve">random module cheat sheet; Class Card 02 printed</t>
  </si>
  <si>
    <t xml:space="preserve">Functions &amp; parameters</t>
  </si>
  <si>
    <t xml:space="preserve">Show a program with the same six drawing lines pasted three times. Wrap the block in def draw_support() - the blueprint stamp. Run it with no call; sit with the silence. Then parameters: draw_wheel(spokes), then draw_wheel(spokes, size). Close by projecting the coaster's three dashboard lines: f-strings with speed and height flowing in - Monday's receipt, Thursday's instruments.</t>
  </si>
  <si>
    <t xml:space="preserve">What broke when we forgot to call it? Compare line counts before and after.</t>
  </si>
  <si>
    <t xml:space="preserve">Refactor worksheet</t>
  </si>
  <si>
    <t xml:space="preserve">One stamp, three wheels</t>
  </si>
  <si>
    <t xml:space="preserve">Each camper shows one function producing three different wheels. Close with 15 minutes of capstone preview: tomorrow's attraction is a coaster with an Operator's Booth - sketch a first track shape and one booth idea on the idea slip.</t>
  </si>
  <si>
    <t xml:space="preserve">What does a parameter let you change?</t>
  </si>
  <si>
    <t xml:space="preserve">Idea slips</t>
  </si>
  <si>
    <t xml:space="preserve">What are the two steps to using a function?</t>
  </si>
  <si>
    <t xml:space="preserve">Reteach flag: 'defining is calling' answers.</t>
  </si>
  <si>
    <t xml:space="preserve">Re-trace + first ride</t>
  </si>
  <si>
    <t xml:space="preserve">Re-trace Wednesday: what does the sqrt line print for drop = 80? Frame the day: today you design a ride and build it; tomorrow the park opens. Run the stock coaster once on the projector - 19 seconds, 70 mph.</t>
  </si>
  <si>
    <t xml:space="preserve">Predict the top speed before the projector run.</t>
  </si>
  <si>
    <t xml:space="preserve">Projector; coaster.py tested on the teacher machine</t>
  </si>
  <si>
    <t xml:space="preserve">The engine &amp; the Ride Log</t>
  </si>
  <si>
    <t xml:space="preserve">Paste coaster.py (or the turtle edition) and run the stock ride. Find the four physics lines. Complete Ride Log Grid A: heights from the list first, then TIME and SPEED at towers 3, 9, 11, 13, 16 off the live dashboard. Then the hinge: the 55-meter hill - answered before any design work.</t>
  </si>
  <si>
    <t xml:space="preserve">Grid A collected. Hinge answered.</t>
  </si>
  <si>
    <t xml:space="preserve">Printed Ride Logs; pygame verified on camp hardware by Tuesday, or run the week on the turtle edition</t>
  </si>
  <si>
    <t xml:space="preserve">2:10-2:20</t>
  </si>
  <si>
    <t xml:space="preserve">Short break.</t>
  </si>
  <si>
    <t xml:space="preserve">2:20-2:45</t>
  </si>
  <si>
    <t xml:space="preserve">Build Block B1</t>
  </si>
  <si>
    <t xml:space="preserve">Capstone blueprint</t>
  </si>
  <si>
    <t xml:space="preserve">Design the Operator's Booth: a visual blueprint with sequence, one loop, and the decision that chooses the track - plus the track design (10+ towers, first tallest, ends at 0, completes). Studio rule, said aloud at approval: a new track list alone is not a capstone.</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</si>
  <si>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</si>
  <si>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</si>
  <si>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</si>
  <si>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</si>
  <si>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</si>
  <si>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decides. Track Version 1 -&gt; Version 2 with the what-changed note. Debugging protocol on the wall: read the error first, last line first. Teacher circulates; no fixing on the camper's behalf.</t>
  </si>
  <si>
    <t xml:space="preserve">V1/V2 note on the Ride Log. Debugging log begun (collected Friday).</t>
  </si>
  <si>
    <t xml:space="preserve">Debug protocol poster</t>
  </si>
  <si>
    <t xml:space="preserve">3:30-3:55</t>
  </si>
  <si>
    <t xml:space="preserve">SOFT LAUNCH</t>
  </si>
  <si>
    <t xml:space="preserve">One-partner safety inspection: run the booth live with the partner as guest, invite them to break it (an unexpected mood answer), rehearse narrating the three physics lines, and log everything that broke or wobbled. Nothing must be perfect today; everything must be diagnosed today.</t>
  </si>
  <si>
    <t xml:space="preserve">Maintenance slip: what needs fixing tomorrow morning?</t>
  </si>
  <si>
    <t xml:space="preserve">Inspection pairing list</t>
  </si>
  <si>
    <t xml:space="preserve">3:55-4:00</t>
  </si>
  <si>
    <t xml:space="preserve">One line: the first thing you will fix tomorrow, and the first line you will read to fix it.</t>
  </si>
  <si>
    <t xml:space="preserve">Triage</t>
  </si>
  <si>
    <t xml:space="preserve">Run yesterday's build exactly as you left it. Three lanes on the board: RUNNING (to the Stretch Garage), ALMOST (silent bugs), STUCK (traceback). Being stuck Friday morning is the plan working - the ribbon is at 3:25, not 9:00.</t>
  </si>
  <si>
    <t xml:space="preserve">Every name in a lane.</t>
  </si>
  <si>
    <t xml:space="preserve">Triage board; lane cards</t>
  </si>
  <si>
    <t xml:space="preserve">Fix-It Clinic</t>
  </si>
  <si>
    <t xml:space="preserve">Pair debugging: one drives, the partner reads the traceback aloud, last line first. Nobody's hands on anyone else's keyboard, including the teacher's. The three likely suspects from the soft launches: a missing colon, = where == belongs, and a later hill out-talling the lift (a physics bug, not a Python bug). Every fix goes in the two-line log.</t>
  </si>
  <si>
    <t xml:space="preserve">Debugging log collected at the end of the block.</t>
  </si>
  <si>
    <t xml:space="preserve">Debug protocol poster; the week's traceback reference cards</t>
  </si>
  <si>
    <t xml:space="preserve">Short break (Friday protects showcase time).</t>
  </si>
  <si>
    <t xml:space="preserve">2:20-3:00</t>
  </si>
  <si>
    <t xml:space="preserve">Stretch Garage &amp; polish</t>
  </si>
  <si>
    <t xml:space="preserve">RUNNING lane picks one upgrade - friction (tune 0.01 toward 0.08 to match Fury 325's 95 mph), a random.choice mystery ride, a fast-pass second decision, or boarding-pass polish. Rule: copy the working version into a comment before touching anything. ALMOST and STUCK lanes keep the clinic going.</t>
  </si>
  <si>
    <t xml:space="preserve">Upgrade named and explained, or bug count going down.</t>
  </si>
  <si>
    <t xml:space="preserve">Coaster Lab page open for the stretch numbers</t>
  </si>
  <si>
    <t xml:space="preserve">3:00-3:25</t>
  </si>
  <si>
    <t xml:space="preserve">Rehearsal</t>
  </si>
  <si>
    <t xml:space="preserve">Two-minute run-through with a partner as guest: narrate the three physics lines on your own track, and answer 'why does it speed up at the bottom?' without saying 'the code tells it to.' Draft the reflection slip: one design choice, who the ride serves - and who it doesn't.</t>
  </si>
  <si>
    <t xml:space="preserve">Reflection slip drafted.</t>
  </si>
  <si>
    <t xml:space="preserve">Presentation order posted; timer</t>
  </si>
  <si>
    <t xml:space="preserve">3:25-3:55</t>
  </si>
  <si>
    <t xml:space="preserve">GRAND OPENING</t>
  </si>
  <si>
    <t xml:space="preserve">Two-minute walkthroughs for the room: live run with a classmate as guest, the three-lines narration, one design choice and its audience. Close with the security conversation anchored to their own program: who can see, change, or reach it? Reflection slips collected.</t>
  </si>
  <si>
    <t xml:space="preserve">Reflection slip collected. Each camper narrates the three lines.</t>
  </si>
  <si>
    <t xml:space="preserve">Presentation timer; families invited if the site allows</t>
  </si>
  <si>
    <t xml:space="preserve">Of everything you fixed this week, which fix taught you the most - and why?</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</si>
  <si>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</si>
  <si>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</si>
  <si>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</si>
  <si>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</si>
  <si>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</si>
  <si>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</si>
  <si>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</si>
  <si>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</si>
  <si>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</si>
  <si>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</si>
  <si>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</si>
  <si>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</si>
  <si>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</si>
  <si>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</si>
  <si>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1, 2, 3, 4</t>
  </si>
  <si>
    <t xml:space="preserve">Approved capstone blueprint (Day 4) showing sequence, a loop, and the track-choosing branch - plus the built booth that follows it.</t>
  </si>
  <si>
    <t xml:space="preserve">E5-ALG-IM-03</t>
  </si>
  <si>
    <t xml:space="preserve">Impacts of Algorithms &amp; Design</t>
  </si>
  <si>
    <t xml:space="preserve">Articulate how human-centered design principles are incorporated into the development of a computing technology.</t>
  </si>
  <si>
    <t xml:space="preserve">5</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</si>
  <si>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</si>
  <si>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</si>
  <si>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</si>
  <si>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</si>
  <si>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</si>
  <si>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</si>
  <si>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</si>
  <si>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</si>
  <si>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</si>
  <si>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</si>
  <si>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</si>
  <si>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1, 2, 3, 4, 5</t>
  </si>
  <si>
    <t xml:space="preserve">Working park artifact each day; Day-3 refactor of the copied supports into draw_wheel(spokes, size); Day-4 track Version 1 -&gt; Version 2 with the what-changed note; Day-5 fix-and-upgrade cycle.</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</si>
  <si>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</si>
  <si>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</si>
  <si>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</si>
  <si>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Completed ticket-price trace table; correct index identification on the ride roster; Day-4 Ride Log Grid A checked against the live dashboard.</t>
  </si>
  <si>
    <t xml:space="preserve">E5-PRO-RD-??</t>
  </si>
  <si>
    <t xml:space="preserve">Reading &amp; Documenting</t>
  </si>
  <si>
    <t xml:space="preserve">Grade-5 progression: students describe how code completes tasks and explain program steps. [Confirm exact code and wording at source.]</t>
  </si>
  <si>
    <t xml:space="preserve">3, 4, 5</t>
  </si>
  <si>
    <t xml:space="preserve">Predict-the-output warm-ups;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</si>
  <si>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</si>
  <si>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</si>
  <si>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</si>
  <si>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1, 4, 5</t>
  </si>
  <si>
    <t xml:space="preserve">Independent two-line debugging log, Day-4 build through Day-5 fix-it clinic (collected Friday).</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</si>
  <si>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</si>
  <si>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</si>
  <si>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</si>
  <si>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</si>
  <si>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</si>
  <si>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</si>
  <si>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</si>
  <si>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</si>
  <si>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</si>
  <si>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</si>
  <si>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</si>
  <si>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</si>
  <si>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</si>
  <si>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</si>
  <si>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</si>
  <si>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</si>
  <si>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</si>
  <si>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</si>
  <si>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</si>
  <si>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</si>
  <si>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</si>
  <si>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</si>
  <si>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</si>
  <si>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</si>
  <si>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</si>
  <si>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</si>
  <si>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</si>
  <si>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</si>
  <si>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</si>
  <si>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</si>
  <si>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</si>
  <si>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</si>
  <si>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</si>
  <si>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</si>
  <si>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</si>
  <si>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</si>
  <si>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</si>
  <si>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</si>
  <si>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</si>
  <si>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</si>
  <si>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</si>
  <si>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</si>
  <si>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</si>
  <si>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</si>
  <si>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</si>
  <si>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</si>
  <si>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</si>
  <si>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</si>
  <si>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</si>
  <si>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</si>
  <si>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</si>
  <si>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</si>
  <si>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</si>
  <si>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</si>
  <si>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</si>
  <si>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</si>
  <si>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</si>
  <si>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</si>
  <si>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</si>
  <si>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Defining is calling</t>
  </si>
  <si>
    <t xml:space="preserve">draw_wheel() defined, program runs, nothing draws,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</si>
  <si>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</si>
  <si>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</si>
  <si>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</si>
  <si>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</si>
  <si>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</si>
  <si>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</si>
  <si>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</si>
  <si>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</si>
  <si>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</si>
  <si>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</si>
  <si>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</si>
  <si>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</si>
  <si>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</si>
  <si>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</si>
  <si>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</si>
  <si>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</si>
  <si>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</si>
  <si>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</si>
  <si>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Stuck means failure</t>
  </si>
  <si>
    <t xml:space="preserve">Camper freezes at Friday triage, embarrassed the build is broken.</t>
  </si>
  <si>
    <t xml:space="preserve">School often grades the artifact, not the repair.</t>
  </si>
  <si>
    <t xml:space="preserve">Point at the schedule: the whole morning is the fix-it clinic. Real parks budget for this.</t>
  </si>
  <si>
    <t xml:space="preserve">Being stuck Friday morning is the plan working. The rubric's protected row is the repair, not the shine.</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</si>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</sst>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3" customFormat="false" ht="57" hidden="false" customHeight="true" outlineLevel="0" collapsed="false">
      <c r="C33" s="10" t="s">
        <v>28</v>
      </c>
    </row>
    <row r="34" customFormat="false" ht="15" hidden="false" customHeight="true" outlineLevel="0" collapsed="false"/>
    <row r="35" customFormat="false" ht="69.75" hidden="false" customHeight="true" outlineLevel="0" collapsed="false">
      <c r="B35" s="4" t="s">
        <v>29</v>
      </c>
    </row>
    <row r="36" customFormat="false" ht="55.5" hidden="false" customHeight="true" outlineLevel="0" collapsed="false">
      <c r="C36" s="10" t="s">
        <v>30</v>
      </c>
    </row>
    <row r="37" customFormat="false" ht="45.75" hidden="false" customHeight="true" outlineLevel="0" collapsed="false">
      <c r="C37" s="10" t="s">
        <v>31</v>
      </c>
    </row>
    <row r="38" customFormat="false" ht="15" hidden="false" customHeight="true" outlineLevel="0" collapsed="false"/>
    <row r="39" customFormat="false" ht="27.75" hidden="false" customHeight="true" outlineLevel="0" collapsed="false">
      <c r="B39" s="4"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row r="44" customFormat="false" ht="34.5" hidden="false" customHeight="true" outlineLevel="0" collapsed="false">
      <c r="C44" s="10" t="s">
        <v>37</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38</v>
      </c>
    </row>
    <row r="2" customFormat="false" ht="23.25" hidden="false" customHeight="true" outlineLevel="0" collapsed="false">
      <c r="A2" s="7" t="s">
        <v>39</v>
      </c>
      <c r="B2" s="7" t="s">
        <v>40</v>
      </c>
      <c r="C2" s="7" t="s">
        <v>41</v>
      </c>
      <c r="D2" s="7" t="s">
        <v>42</v>
      </c>
      <c r="E2" s="7" t="s">
        <v>43</v>
      </c>
      <c r="F2" s="7" t="s">
        <v>44</v>
      </c>
      <c r="G2" s="7" t="s">
        <v>45</v>
      </c>
      <c r="H2" s="7" t="s">
        <v>46</v>
      </c>
      <c r="I2" s="7" t="s">
        <v>47</v>
      </c>
      <c r="J2" s="7" t="s">
        <v>48</v>
      </c>
      <c r="K2" s="7" t="s">
        <v>49</v>
      </c>
    </row>
    <row r="3" customFormat="false" ht="117.75" hidden="false" customHeight="true" outlineLevel="0" collapsed="false">
      <c r="A3" s="11" t="n">
        <v>1</v>
      </c>
      <c r="B3" s="12" t="s">
        <v>50</v>
      </c>
      <c r="C3" s="12" t="s">
        <v>51</v>
      </c>
      <c r="D3" s="11" t="n">
        <v>150</v>
      </c>
      <c r="E3" s="12" t="s">
        <v>52</v>
      </c>
      <c r="F3" s="12" t="s">
        <v>53</v>
      </c>
      <c r="G3" s="12" t="s">
        <v>54</v>
      </c>
      <c r="H3" s="12" t="s">
        <v>55</v>
      </c>
      <c r="I3" s="12" t="s">
        <v>56</v>
      </c>
      <c r="J3" s="12" t="s">
        <v>57</v>
      </c>
      <c r="K3" s="12" t="s">
        <v>58</v>
      </c>
    </row>
    <row r="4" customFormat="false" ht="117.75" hidden="false" customHeight="true" outlineLevel="0" collapsed="false">
      <c r="A4" s="11" t="n">
        <v>2</v>
      </c>
      <c r="B4" s="12" t="s">
        <v>59</v>
      </c>
      <c r="C4" s="12" t="s">
        <v>60</v>
      </c>
      <c r="D4" s="11" t="n">
        <v>150</v>
      </c>
      <c r="E4" s="12" t="s">
        <v>61</v>
      </c>
      <c r="F4" s="12" t="s">
        <v>62</v>
      </c>
      <c r="G4" s="12" t="s">
        <v>63</v>
      </c>
      <c r="H4" s="12" t="s">
        <v>64</v>
      </c>
      <c r="I4" s="12" t="s">
        <v>65</v>
      </c>
      <c r="J4" s="12" t="s">
        <v>66</v>
      </c>
      <c r="K4" s="12" t="s">
        <v>67</v>
      </c>
    </row>
    <row r="5" customFormat="false" ht="117.75" hidden="false" customHeight="true" outlineLevel="0" collapsed="false">
      <c r="A5" s="11" t="n">
        <v>3</v>
      </c>
      <c r="B5" s="12" t="s">
        <v>68</v>
      </c>
      <c r="C5" s="12" t="s">
        <v>69</v>
      </c>
      <c r="D5" s="11" t="n">
        <v>150</v>
      </c>
      <c r="E5" s="12" t="s">
        <v>70</v>
      </c>
      <c r="F5" s="12" t="s">
        <v>71</v>
      </c>
      <c r="G5" s="12" t="s">
        <v>72</v>
      </c>
      <c r="H5" s="12" t="s">
        <v>73</v>
      </c>
      <c r="I5" s="12" t="s">
        <v>74</v>
      </c>
      <c r="J5" s="12" t="s">
        <v>75</v>
      </c>
      <c r="K5" s="12" t="s">
        <v>76</v>
      </c>
    </row>
    <row r="6" customFormat="false" ht="117.75" hidden="false" customHeight="true" outlineLevel="0" collapsed="false">
      <c r="A6" s="11" t="n">
        <v>4</v>
      </c>
      <c r="B6" s="12" t="s">
        <v>77</v>
      </c>
      <c r="C6" s="12" t="s">
        <v>78</v>
      </c>
      <c r="D6" s="11" t="n">
        <v>150</v>
      </c>
      <c r="E6" s="12" t="s">
        <v>79</v>
      </c>
      <c r="F6" s="12" t="s">
        <v>80</v>
      </c>
      <c r="G6" s="12" t="s">
        <v>81</v>
      </c>
      <c r="H6" s="12" t="s">
        <v>82</v>
      </c>
      <c r="I6" s="12" t="s">
        <v>83</v>
      </c>
      <c r="J6" s="12" t="s">
        <v>84</v>
      </c>
      <c r="K6" s="12" t="s">
        <v>85</v>
      </c>
    </row>
    <row r="7" customFormat="false" ht="117.75" hidden="false" customHeight="true" outlineLevel="0" collapsed="false">
      <c r="A7" s="11" t="n">
        <v>5</v>
      </c>
      <c r="B7" s="12" t="s">
        <v>86</v>
      </c>
      <c r="C7" s="12" t="s">
        <v>87</v>
      </c>
      <c r="D7" s="11" t="n">
        <v>150</v>
      </c>
      <c r="E7" s="12" t="s">
        <v>88</v>
      </c>
      <c r="F7" s="12" t="s">
        <v>89</v>
      </c>
      <c r="G7" s="12" t="s">
        <v>90</v>
      </c>
      <c r="H7" s="12" t="s">
        <v>91</v>
      </c>
      <c r="I7" s="12" t="s">
        <v>92</v>
      </c>
      <c r="J7" s="12" t="s">
        <v>93</v>
      </c>
      <c r="K7" s="12" t="s">
        <v>94</v>
      </c>
    </row>
    <row r="8" customFormat="false" ht="15" hidden="false" customHeight="true" outlineLevel="0" collapsed="false">
      <c r="B8" s="13" t="s">
        <v>95</v>
      </c>
      <c r="D8" s="14" t="n">
        <f aca="false">SUM(D3:D7)</f>
        <v>750</v>
      </c>
    </row>
    <row r="9" customFormat="false" ht="39.75" hidden="false" customHeight="true" outlineLevel="0" collapsed="false">
      <c r="B9" s="13" t="s">
        <v>96</v>
      </c>
      <c r="D9" s="15" t="n">
        <f aca="false">D8/60</f>
        <v>12.5</v>
      </c>
      <c r="E9" s="3" t="s">
        <v>97</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98</v>
      </c>
    </row>
    <row r="2" customFormat="false" ht="15" hidden="false" customHeight="true" outlineLevel="0" collapsed="false">
      <c r="A2" s="7" t="s">
        <v>39</v>
      </c>
      <c r="B2" s="7" t="s">
        <v>99</v>
      </c>
      <c r="C2" s="7" t="s">
        <v>100</v>
      </c>
      <c r="D2" s="7" t="s">
        <v>101</v>
      </c>
      <c r="E2" s="7" t="s">
        <v>102</v>
      </c>
      <c r="F2" s="7" t="s">
        <v>103</v>
      </c>
      <c r="G2" s="7" t="s">
        <v>104</v>
      </c>
    </row>
    <row r="3" customFormat="false" ht="61.5" hidden="false" customHeight="true" outlineLevel="0" collapsed="false">
      <c r="A3" s="16" t="n">
        <v>1</v>
      </c>
      <c r="B3" s="17" t="s">
        <v>105</v>
      </c>
      <c r="C3" s="17" t="s">
        <v>106</v>
      </c>
      <c r="D3" s="17" t="s">
        <v>107</v>
      </c>
      <c r="E3" s="17" t="s">
        <v>108</v>
      </c>
      <c r="F3" s="17" t="s">
        <v>109</v>
      </c>
      <c r="G3" s="17" t="s">
        <v>110</v>
      </c>
    </row>
    <row r="4" customFormat="false" ht="61.5" hidden="false" customHeight="true" outlineLevel="0" collapsed="false">
      <c r="A4" s="11" t="n">
        <v>1</v>
      </c>
      <c r="B4" s="12" t="s">
        <v>111</v>
      </c>
      <c r="C4" s="12" t="s">
        <v>112</v>
      </c>
      <c r="D4" s="12" t="s">
        <v>113</v>
      </c>
      <c r="E4" s="12" t="s">
        <v>114</v>
      </c>
      <c r="F4" s="12" t="s">
        <v>115</v>
      </c>
      <c r="G4" s="12" t="s">
        <v>116</v>
      </c>
    </row>
    <row r="5" customFormat="false" ht="15.75" hidden="false" customHeight="true" outlineLevel="0" collapsed="false">
      <c r="A5" s="18" t="n">
        <v>1</v>
      </c>
      <c r="B5" s="19" t="s">
        <v>117</v>
      </c>
      <c r="C5" s="19" t="s">
        <v>118</v>
      </c>
      <c r="D5" s="19" t="s">
        <v>119</v>
      </c>
      <c r="E5" s="19" t="s">
        <v>120</v>
      </c>
      <c r="F5" s="19" t="s">
        <v>119</v>
      </c>
      <c r="G5" s="19" t="s">
        <v>119</v>
      </c>
    </row>
    <row r="6" customFormat="false" ht="61.5" hidden="false" customHeight="true" outlineLevel="0" collapsed="false">
      <c r="A6" s="11" t="n">
        <v>1</v>
      </c>
      <c r="B6" s="12" t="s">
        <v>121</v>
      </c>
      <c r="C6" s="12" t="s">
        <v>122</v>
      </c>
      <c r="D6" s="12" t="s">
        <v>123</v>
      </c>
      <c r="E6" s="12" t="s">
        <v>124</v>
      </c>
      <c r="F6" s="12" t="s">
        <v>125</v>
      </c>
      <c r="G6" s="12" t="s">
        <v>126</v>
      </c>
    </row>
    <row r="7" customFormat="false" ht="61.5" hidden="false" customHeight="true" outlineLevel="0" collapsed="false">
      <c r="A7" s="11" t="n">
        <v>1</v>
      </c>
      <c r="B7" s="12" t="s">
        <v>127</v>
      </c>
      <c r="C7" s="12" t="s">
        <v>128</v>
      </c>
      <c r="D7" s="12" t="s">
        <v>129</v>
      </c>
      <c r="E7" s="12" t="s">
        <v>130</v>
      </c>
      <c r="F7" s="12" t="s">
        <v>131</v>
      </c>
      <c r="G7" s="12" t="s">
        <v>132</v>
      </c>
    </row>
    <row r="8" customFormat="false" ht="61.5" hidden="false" customHeight="true" outlineLevel="0" collapsed="false">
      <c r="A8" s="11" t="n">
        <v>1</v>
      </c>
      <c r="B8" s="12" t="s">
        <v>133</v>
      </c>
      <c r="C8" s="12" t="s">
        <v>134</v>
      </c>
      <c r="D8" s="12" t="s">
        <v>135</v>
      </c>
      <c r="E8" s="12" t="s">
        <v>136</v>
      </c>
      <c r="F8" s="12" t="s">
        <v>137</v>
      </c>
      <c r="G8" s="12" t="s">
        <v>138</v>
      </c>
    </row>
    <row r="9" customFormat="false" ht="61.5" hidden="false" customHeight="true" outlineLevel="0" collapsed="false">
      <c r="A9" s="16" t="n">
        <v>2</v>
      </c>
      <c r="B9" s="17" t="s">
        <v>105</v>
      </c>
      <c r="C9" s="17" t="s">
        <v>106</v>
      </c>
      <c r="D9" s="17" t="s">
        <v>139</v>
      </c>
      <c r="E9" s="17" t="s">
        <v>140</v>
      </c>
      <c r="F9" s="17" t="s">
        <v>141</v>
      </c>
      <c r="G9" s="17" t="s">
        <v>142</v>
      </c>
    </row>
    <row r="10" customFormat="false" ht="61.5" hidden="false" customHeight="true" outlineLevel="0" collapsed="false">
      <c r="A10" s="11" t="n">
        <v>2</v>
      </c>
      <c r="B10" s="12" t="s">
        <v>111</v>
      </c>
      <c r="C10" s="12" t="s">
        <v>112</v>
      </c>
      <c r="D10" s="12" t="s">
        <v>143</v>
      </c>
      <c r="E10" s="12" t="s">
        <v>144</v>
      </c>
      <c r="F10" s="12" t="s">
        <v>145</v>
      </c>
      <c r="G10" s="12" t="s">
        <v>146</v>
      </c>
    </row>
    <row r="11" customFormat="false" ht="15.75" hidden="false" customHeight="true" outlineLevel="0" collapsed="false">
      <c r="A11" s="18" t="n">
        <v>2</v>
      </c>
      <c r="B11" s="19" t="s">
        <v>117</v>
      </c>
      <c r="C11" s="19" t="s">
        <v>118</v>
      </c>
      <c r="D11" s="19" t="s">
        <v>119</v>
      </c>
      <c r="E11" s="19" t="s">
        <v>147</v>
      </c>
      <c r="F11" s="19" t="s">
        <v>119</v>
      </c>
      <c r="G11" s="19" t="s">
        <v>119</v>
      </c>
    </row>
    <row r="12" customFormat="false" ht="61.5" hidden="false" customHeight="true" outlineLevel="0" collapsed="false">
      <c r="A12" s="11" t="n">
        <v>2</v>
      </c>
      <c r="B12" s="12" t="s">
        <v>121</v>
      </c>
      <c r="C12" s="12" t="s">
        <v>122</v>
      </c>
      <c r="D12" s="12" t="s">
        <v>148</v>
      </c>
      <c r="E12" s="12" t="s">
        <v>149</v>
      </c>
      <c r="F12" s="12" t="s">
        <v>150</v>
      </c>
      <c r="G12" s="12" t="s">
        <v>151</v>
      </c>
    </row>
    <row r="13" customFormat="false" ht="61.5" hidden="false" customHeight="true" outlineLevel="0" collapsed="false">
      <c r="A13" s="11" t="n">
        <v>2</v>
      </c>
      <c r="B13" s="12" t="s">
        <v>127</v>
      </c>
      <c r="C13" s="12" t="s">
        <v>128</v>
      </c>
      <c r="D13" s="12" t="s">
        <v>152</v>
      </c>
      <c r="E13" s="12" t="s">
        <v>153</v>
      </c>
      <c r="F13" s="12" t="s">
        <v>154</v>
      </c>
      <c r="G13" s="12" t="s">
        <v>155</v>
      </c>
    </row>
    <row r="14" customFormat="false" ht="61.5" hidden="false" customHeight="true" outlineLevel="0" collapsed="false">
      <c r="A14" s="11" t="n">
        <v>2</v>
      </c>
      <c r="B14" s="12" t="s">
        <v>133</v>
      </c>
      <c r="C14" s="12" t="s">
        <v>134</v>
      </c>
      <c r="D14" s="12" t="s">
        <v>135</v>
      </c>
      <c r="E14" s="12" t="s">
        <v>156</v>
      </c>
      <c r="F14" s="12" t="s">
        <v>157</v>
      </c>
      <c r="G14" s="12" t="s">
        <v>138</v>
      </c>
    </row>
    <row r="15" customFormat="false" ht="61.5" hidden="false" customHeight="true" outlineLevel="0" collapsed="false">
      <c r="A15" s="16" t="n">
        <v>3</v>
      </c>
      <c r="B15" s="17" t="s">
        <v>105</v>
      </c>
      <c r="C15" s="17" t="s">
        <v>106</v>
      </c>
      <c r="D15" s="17" t="s">
        <v>158</v>
      </c>
      <c r="E15" s="17" t="s">
        <v>159</v>
      </c>
      <c r="F15" s="17" t="s">
        <v>160</v>
      </c>
      <c r="G15" s="17" t="s">
        <v>161</v>
      </c>
    </row>
    <row r="16" customFormat="false" ht="61.5" hidden="false" customHeight="true" outlineLevel="0" collapsed="false">
      <c r="A16" s="11" t="n">
        <v>3</v>
      </c>
      <c r="B16" s="12" t="s">
        <v>111</v>
      </c>
      <c r="C16" s="12" t="s">
        <v>112</v>
      </c>
      <c r="D16" s="12" t="s">
        <v>162</v>
      </c>
      <c r="E16" s="12" t="s">
        <v>163</v>
      </c>
      <c r="F16" s="12" t="s">
        <v>164</v>
      </c>
      <c r="G16" s="12" t="s">
        <v>165</v>
      </c>
    </row>
    <row r="17" customFormat="false" ht="15.75" hidden="false" customHeight="true" outlineLevel="0" collapsed="false">
      <c r="A17" s="18" t="n">
        <v>3</v>
      </c>
      <c r="B17" s="19" t="s">
        <v>117</v>
      </c>
      <c r="C17" s="19" t="s">
        <v>118</v>
      </c>
      <c r="D17" s="19" t="s">
        <v>119</v>
      </c>
      <c r="E17" s="19" t="s">
        <v>147</v>
      </c>
      <c r="F17" s="19" t="s">
        <v>119</v>
      </c>
      <c r="G17" s="19" t="s">
        <v>119</v>
      </c>
    </row>
    <row r="18" customFormat="false" ht="61.5" hidden="false" customHeight="true" outlineLevel="0" collapsed="false">
      <c r="A18" s="11" t="n">
        <v>3</v>
      </c>
      <c r="B18" s="12" t="s">
        <v>121</v>
      </c>
      <c r="C18" s="12" t="s">
        <v>122</v>
      </c>
      <c r="D18" s="12" t="s">
        <v>166</v>
      </c>
      <c r="E18" s="12" t="s">
        <v>167</v>
      </c>
      <c r="F18" s="12" t="s">
        <v>168</v>
      </c>
      <c r="G18" s="12" t="s">
        <v>169</v>
      </c>
    </row>
    <row r="19" customFormat="false" ht="61.5" hidden="false" customHeight="true" outlineLevel="0" collapsed="false">
      <c r="A19" s="11" t="n">
        <v>3</v>
      </c>
      <c r="B19" s="12" t="s">
        <v>127</v>
      </c>
      <c r="C19" s="12" t="s">
        <v>128</v>
      </c>
      <c r="D19" s="12" t="s">
        <v>170</v>
      </c>
      <c r="E19" s="12" t="s">
        <v>171</v>
      </c>
      <c r="F19" s="12" t="s">
        <v>172</v>
      </c>
      <c r="G19" s="12" t="s">
        <v>173</v>
      </c>
    </row>
    <row r="20" customFormat="false" ht="61.5" hidden="false" customHeight="true" outlineLevel="0" collapsed="false">
      <c r="A20" s="11" t="n">
        <v>3</v>
      </c>
      <c r="B20" s="12" t="s">
        <v>133</v>
      </c>
      <c r="C20" s="12" t="s">
        <v>134</v>
      </c>
      <c r="D20" s="12" t="s">
        <v>135</v>
      </c>
      <c r="E20" s="12" t="s">
        <v>174</v>
      </c>
      <c r="F20" s="12" t="s">
        <v>175</v>
      </c>
      <c r="G20" s="12" t="s">
        <v>138</v>
      </c>
    </row>
    <row r="21" customFormat="false" ht="61.5" hidden="false" customHeight="true" outlineLevel="0" collapsed="false">
      <c r="A21" s="16" t="n">
        <v>4</v>
      </c>
      <c r="B21" s="17" t="s">
        <v>105</v>
      </c>
      <c r="C21" s="17" t="s">
        <v>106</v>
      </c>
      <c r="D21" s="17" t="s">
        <v>176</v>
      </c>
      <c r="E21" s="17" t="s">
        <v>177</v>
      </c>
      <c r="F21" s="17" t="s">
        <v>178</v>
      </c>
      <c r="G21" s="17" t="s">
        <v>179</v>
      </c>
    </row>
    <row r="22" customFormat="false" ht="61.5" hidden="false" customHeight="true" outlineLevel="0" collapsed="false">
      <c r="A22" s="11" t="n">
        <v>4</v>
      </c>
      <c r="B22" s="12" t="s">
        <v>111</v>
      </c>
      <c r="C22" s="12" t="s">
        <v>112</v>
      </c>
      <c r="D22" s="12" t="s">
        <v>180</v>
      </c>
      <c r="E22" s="12" t="s">
        <v>181</v>
      </c>
      <c r="F22" s="12" t="s">
        <v>182</v>
      </c>
      <c r="G22" s="12" t="s">
        <v>183</v>
      </c>
    </row>
    <row r="23" customFormat="false" ht="15.75" hidden="false" customHeight="true" outlineLevel="0" collapsed="false">
      <c r="A23" s="18" t="n">
        <v>4</v>
      </c>
      <c r="B23" s="19" t="s">
        <v>184</v>
      </c>
      <c r="C23" s="19" t="s">
        <v>118</v>
      </c>
      <c r="D23" s="19" t="s">
        <v>119</v>
      </c>
      <c r="E23" s="19" t="s">
        <v>185</v>
      </c>
      <c r="F23" s="19" t="s">
        <v>119</v>
      </c>
      <c r="G23" s="19" t="s">
        <v>119</v>
      </c>
    </row>
    <row r="24" customFormat="false" ht="61.5" hidden="false" customHeight="true" outlineLevel="0" collapsed="false">
      <c r="A24" s="11" t="n">
        <v>4</v>
      </c>
      <c r="B24" s="12" t="s">
        <v>186</v>
      </c>
      <c r="C24" s="12" t="s">
        <v>187</v>
      </c>
      <c r="D24" s="12" t="s">
        <v>188</v>
      </c>
      <c r="E24" s="12" t="s">
        <v>189</v>
      </c>
      <c r="F24" s="12" t="s">
        <v>190</v>
      </c>
      <c r="G24" s="12" t="s">
        <v>191</v>
      </c>
    </row>
    <row r="25" customFormat="false" ht="61.5" hidden="false" customHeight="true" outlineLevel="0" collapsed="false">
      <c r="A25" s="11" t="n">
        <v>4</v>
      </c>
      <c r="B25" s="12" t="s">
        <v>192</v>
      </c>
      <c r="C25" s="12" t="s">
        <v>193</v>
      </c>
      <c r="D25" s="12" t="s">
        <v>194</v>
      </c>
      <c r="E25" s="12" t="s">
        <v>195</v>
      </c>
      <c r="F25" s="12" t="s">
        <v>196</v>
      </c>
      <c r="G25" s="12" t="s">
        <v>197</v>
      </c>
    </row>
    <row r="26" customFormat="false" ht="61.5" hidden="false" customHeight="true" outlineLevel="0" collapsed="false">
      <c r="A26" s="11" t="n">
        <v>4</v>
      </c>
      <c r="B26" s="12" t="s">
        <v>198</v>
      </c>
      <c r="C26" s="12" t="s">
        <v>128</v>
      </c>
      <c r="D26" s="12" t="s">
        <v>199</v>
      </c>
      <c r="E26" s="12" t="s">
        <v>200</v>
      </c>
      <c r="F26" s="12" t="s">
        <v>201</v>
      </c>
      <c r="G26" s="12" t="s">
        <v>202</v>
      </c>
    </row>
    <row r="27" customFormat="false" ht="61.5" hidden="false" customHeight="true" outlineLevel="0" collapsed="false">
      <c r="A27" s="11" t="n">
        <v>4</v>
      </c>
      <c r="B27" s="12" t="s">
        <v>203</v>
      </c>
      <c r="C27" s="12" t="s">
        <v>134</v>
      </c>
      <c r="D27" s="12" t="s">
        <v>135</v>
      </c>
      <c r="E27" s="12" t="s">
        <v>204</v>
      </c>
      <c r="F27" s="12" t="s">
        <v>119</v>
      </c>
      <c r="G27" s="12" t="s">
        <v>138</v>
      </c>
    </row>
    <row r="28" customFormat="false" ht="61.5" hidden="false" customHeight="true" outlineLevel="0" collapsed="false">
      <c r="A28" s="16" t="n">
        <v>5</v>
      </c>
      <c r="B28" s="17" t="s">
        <v>105</v>
      </c>
      <c r="C28" s="17" t="s">
        <v>106</v>
      </c>
      <c r="D28" s="17" t="s">
        <v>205</v>
      </c>
      <c r="E28" s="17" t="s">
        <v>206</v>
      </c>
      <c r="F28" s="17" t="s">
        <v>207</v>
      </c>
      <c r="G28" s="17" t="s">
        <v>208</v>
      </c>
    </row>
    <row r="29" customFormat="false" ht="15.75" hidden="false" customHeight="true" outlineLevel="0" collapsed="false">
      <c r="A29" s="11" t="n">
        <v>5</v>
      </c>
      <c r="B29" s="12" t="s">
        <v>111</v>
      </c>
      <c r="C29" s="12" t="s">
        <v>112</v>
      </c>
      <c r="D29" s="12" t="s">
        <v>209</v>
      </c>
      <c r="E29" s="12" t="s">
        <v>210</v>
      </c>
      <c r="F29" s="12" t="s">
        <v>211</v>
      </c>
      <c r="G29" s="12" t="s">
        <v>212</v>
      </c>
    </row>
    <row r="30" customFormat="false" ht="61.5" hidden="false" customHeight="true" outlineLevel="0" collapsed="false">
      <c r="A30" s="18" t="n">
        <v>5</v>
      </c>
      <c r="B30" s="19" t="s">
        <v>184</v>
      </c>
      <c r="C30" s="19" t="s">
        <v>118</v>
      </c>
      <c r="D30" s="19" t="s">
        <v>119</v>
      </c>
      <c r="E30" s="19" t="s">
        <v>213</v>
      </c>
      <c r="F30" s="19" t="s">
        <v>119</v>
      </c>
      <c r="G30" s="19" t="s">
        <v>119</v>
      </c>
    </row>
    <row r="31" customFormat="false" ht="61.5" hidden="false" customHeight="true" outlineLevel="0" collapsed="false">
      <c r="A31" s="11" t="n">
        <v>5</v>
      </c>
      <c r="B31" s="12" t="s">
        <v>214</v>
      </c>
      <c r="C31" s="12" t="s">
        <v>187</v>
      </c>
      <c r="D31" s="12" t="s">
        <v>215</v>
      </c>
      <c r="E31" s="12" t="s">
        <v>216</v>
      </c>
      <c r="F31" s="12" t="s">
        <v>217</v>
      </c>
      <c r="G31" s="12" t="s">
        <v>218</v>
      </c>
    </row>
    <row r="32" customFormat="false" ht="61.5" hidden="false" customHeight="true" outlineLevel="0" collapsed="false">
      <c r="A32" s="11" t="n">
        <v>5</v>
      </c>
      <c r="B32" s="12" t="s">
        <v>219</v>
      </c>
      <c r="C32" s="12" t="s">
        <v>193</v>
      </c>
      <c r="D32" s="12" t="s">
        <v>220</v>
      </c>
      <c r="E32" s="12" t="s">
        <v>221</v>
      </c>
      <c r="F32" s="12" t="s">
        <v>222</v>
      </c>
      <c r="G32" s="12" t="s">
        <v>223</v>
      </c>
    </row>
    <row r="33" customFormat="false" ht="61.5" hidden="false" customHeight="true" outlineLevel="0" collapsed="false">
      <c r="A33" s="11" t="n">
        <v>5</v>
      </c>
      <c r="B33" s="12" t="s">
        <v>224</v>
      </c>
      <c r="C33" s="12" t="s">
        <v>128</v>
      </c>
      <c r="D33" s="12" t="s">
        <v>225</v>
      </c>
      <c r="E33" s="12" t="s">
        <v>226</v>
      </c>
      <c r="F33" s="12" t="s">
        <v>227</v>
      </c>
      <c r="G33" s="12" t="s">
        <v>228</v>
      </c>
    </row>
    <row r="34" customFormat="false" ht="15" hidden="false" customHeight="true" outlineLevel="0" collapsed="false">
      <c r="A34" s="11" t="n">
        <v>5</v>
      </c>
      <c r="B34" s="12" t="s">
        <v>203</v>
      </c>
      <c r="C34" s="12" t="s">
        <v>134</v>
      </c>
      <c r="D34" s="12" t="s">
        <v>135</v>
      </c>
      <c r="E34" s="12" t="s">
        <v>229</v>
      </c>
      <c r="F34" s="12" t="s">
        <v>119</v>
      </c>
      <c r="G34" s="12"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230</v>
      </c>
    </row>
    <row r="2" customFormat="false" ht="15" hidden="false" customHeight="true" outlineLevel="0" collapsed="false">
      <c r="A2" s="7" t="s">
        <v>231</v>
      </c>
      <c r="B2" s="7" t="s">
        <v>232</v>
      </c>
      <c r="C2" s="7" t="s">
        <v>233</v>
      </c>
      <c r="D2" s="7" t="s">
        <v>234</v>
      </c>
      <c r="E2" s="7" t="s">
        <v>235</v>
      </c>
      <c r="F2" s="7" t="s">
        <v>236</v>
      </c>
      <c r="G2" s="7" t="s">
        <v>237</v>
      </c>
      <c r="H2" s="7" t="s">
        <v>238</v>
      </c>
    </row>
    <row r="3" customFormat="false" ht="57.75" hidden="false" customHeight="true" outlineLevel="0" collapsed="false">
      <c r="A3" s="12" t="s">
        <v>239</v>
      </c>
      <c r="B3" s="12" t="s">
        <v>240</v>
      </c>
      <c r="C3" s="12" t="s">
        <v>241</v>
      </c>
      <c r="D3" s="12" t="s">
        <v>242</v>
      </c>
      <c r="E3" s="12" t="s">
        <v>243</v>
      </c>
      <c r="F3" s="11" t="s">
        <v>244</v>
      </c>
      <c r="G3" s="11" t="n">
        <f aca="false">SUMPRODUCT(--ISNUMBER(SEARCH("ALG-PS-01",'Scope &amp; Sequence'!$I$3:$I$7)))</f>
        <v>4</v>
      </c>
      <c r="H3" s="12" t="s">
        <v>245</v>
      </c>
    </row>
    <row r="4" customFormat="false" ht="57.75" hidden="false" customHeight="true" outlineLevel="0" collapsed="false">
      <c r="A4" s="12" t="s">
        <v>246</v>
      </c>
      <c r="B4" s="12" t="s">
        <v>240</v>
      </c>
      <c r="C4" s="12" t="s">
        <v>241</v>
      </c>
      <c r="D4" s="12" t="s">
        <v>247</v>
      </c>
      <c r="E4" s="12" t="s">
        <v>248</v>
      </c>
      <c r="F4" s="11" t="s">
        <v>249</v>
      </c>
      <c r="G4" s="11" t="n">
        <f aca="false">SUMPRODUCT(--ISNUMBER(SEARCH("ALG-IM-03",'Scope &amp; Sequence'!$I$3:$I$7)))</f>
        <v>1</v>
      </c>
      <c r="H4" s="12" t="s">
        <v>250</v>
      </c>
    </row>
    <row r="5" customFormat="false" ht="57.75" hidden="false" customHeight="true" outlineLevel="0" collapsed="false">
      <c r="A5" s="12" t="s">
        <v>251</v>
      </c>
      <c r="B5" s="12" t="s">
        <v>240</v>
      </c>
      <c r="C5" s="12" t="s">
        <v>252</v>
      </c>
      <c r="D5" s="12" t="s">
        <v>253</v>
      </c>
      <c r="E5" s="12" t="s">
        <v>254</v>
      </c>
      <c r="F5" s="11" t="s">
        <v>249</v>
      </c>
      <c r="G5" s="11" t="n">
        <f aca="false">SUMPRODUCT(--ISNUMBER(SEARCH("SYS-SE-13",'Scope &amp; Sequence'!$I$3:$I$7)))</f>
        <v>1</v>
      </c>
      <c r="H5" s="12" t="s">
        <v>255</v>
      </c>
    </row>
    <row r="6" customFormat="false" ht="57.75" hidden="false" customHeight="true" outlineLevel="0" collapsed="false">
      <c r="A6" s="20" t="s">
        <v>256</v>
      </c>
      <c r="B6" s="20" t="s">
        <v>257</v>
      </c>
      <c r="C6" s="12" t="s">
        <v>258</v>
      </c>
      <c r="D6" s="12" t="s">
        <v>259</v>
      </c>
      <c r="E6" s="12" t="s">
        <v>260</v>
      </c>
      <c r="F6" s="11" t="s">
        <v>261</v>
      </c>
      <c r="G6" s="11" t="n">
        <f aca="false">SUMPRODUCT(--ISNUMBER(SEARCH("PRO-PD",'Scope &amp; Sequence'!$I$3:$I$7)))</f>
        <v>5</v>
      </c>
      <c r="H6" s="12" t="s">
        <v>262</v>
      </c>
    </row>
    <row r="7" customFormat="false" ht="57.75" hidden="false" customHeight="true" outlineLevel="0" collapsed="false">
      <c r="A7" s="20" t="s">
        <v>263</v>
      </c>
      <c r="B7" s="20" t="s">
        <v>257</v>
      </c>
      <c r="C7" s="12" t="s">
        <v>258</v>
      </c>
      <c r="D7" s="12" t="s">
        <v>264</v>
      </c>
      <c r="E7" s="12" t="s">
        <v>265</v>
      </c>
      <c r="F7" s="11" t="s">
        <v>244</v>
      </c>
      <c r="G7" s="11" t="n">
        <f aca="false">SUMPRODUCT(--ISNUMBER(SEARCH("PRO-VD",'Scope &amp; Sequence'!$I$3:$I$7)))</f>
        <v>4</v>
      </c>
      <c r="H7" s="12" t="s">
        <v>266</v>
      </c>
    </row>
    <row r="8" customFormat="false" ht="57.75" hidden="false" customHeight="true" outlineLevel="0" collapsed="false">
      <c r="A8" s="20" t="s">
        <v>267</v>
      </c>
      <c r="B8" s="20" t="s">
        <v>257</v>
      </c>
      <c r="C8" s="12" t="s">
        <v>258</v>
      </c>
      <c r="D8" s="12" t="s">
        <v>268</v>
      </c>
      <c r="E8" s="12" t="s">
        <v>269</v>
      </c>
      <c r="F8" s="11" t="s">
        <v>270</v>
      </c>
      <c r="G8" s="11" t="n">
        <f aca="false">SUMPRODUCT(--ISNUMBER(SEARCH("PRO-RD",'Scope &amp; Sequence'!$I$3:$I$7)))</f>
        <v>3</v>
      </c>
      <c r="H8" s="12" t="s">
        <v>271</v>
      </c>
    </row>
    <row r="9" customFormat="false" ht="57.75" hidden="false" customHeight="true" outlineLevel="0" collapsed="false">
      <c r="A9" s="20" t="s">
        <v>272</v>
      </c>
      <c r="B9" s="20" t="s">
        <v>257</v>
      </c>
      <c r="C9" s="12" t="s">
        <v>258</v>
      </c>
      <c r="D9" s="12" t="s">
        <v>273</v>
      </c>
      <c r="E9" s="12" t="s">
        <v>274</v>
      </c>
      <c r="F9" s="11" t="s">
        <v>275</v>
      </c>
      <c r="G9" s="11" t="n">
        <f aca="false">SUMPRODUCT(--ISNUMBER(SEARCH("PRO-TR",'Scope &amp; Sequence'!$I$3:$I$7)))</f>
        <v>3</v>
      </c>
      <c r="H9" s="12" t="s">
        <v>276</v>
      </c>
    </row>
    <row r="10" customFormat="false" ht="57.75" hidden="false" customHeight="true" outlineLevel="0" collapsed="false">
      <c r="A10" s="13" t="s">
        <v>277</v>
      </c>
      <c r="B10" s="21" t="s">
        <v>278</v>
      </c>
    </row>
    <row r="11" customFormat="false" ht="27.75" hidden="false" customHeight="true" outlineLevel="0" collapsed="false">
      <c r="B11" s="22"/>
      <c r="C11" s="22"/>
      <c r="D11" s="22"/>
      <c r="E11" s="22"/>
      <c r="F11" s="22"/>
      <c r="G11" s="22"/>
      <c r="H11" s="22"/>
    </row>
    <row r="12" customFormat="false" ht="15" hidden="false" customHeight="true" outlineLevel="0" collapsed="false">
      <c r="A12" s="4" t="s">
        <v>279</v>
      </c>
    </row>
    <row r="13" customFormat="false" ht="15" hidden="false" customHeight="true" outlineLevel="0" collapsed="false">
      <c r="A13" s="10" t="s">
        <v>280</v>
      </c>
    </row>
    <row r="14" customFormat="false" ht="27.75" hidden="false" customHeight="true" outlineLevel="0" collapsed="false">
      <c r="A14" s="5" t="s">
        <v>281</v>
      </c>
      <c r="B14" s="5"/>
      <c r="C14" s="5"/>
      <c r="D14" s="5"/>
      <c r="E14" s="5"/>
      <c r="F14" s="5"/>
      <c r="G14" s="5"/>
      <c r="H14" s="5"/>
    </row>
    <row r="15" customFormat="false" ht="27.75" hidden="false" customHeight="true" outlineLevel="0" collapsed="false">
      <c r="A15" s="5" t="s">
        <v>282</v>
      </c>
      <c r="B15" s="5"/>
      <c r="C15" s="5"/>
      <c r="D15" s="5"/>
      <c r="E15" s="5"/>
      <c r="F15" s="5"/>
      <c r="G15" s="5"/>
      <c r="H15" s="5"/>
    </row>
    <row r="16" customFormat="false" ht="27.75" hidden="false" customHeight="true" outlineLevel="0" collapsed="false">
      <c r="A16" s="5" t="s">
        <v>283</v>
      </c>
      <c r="B16" s="5"/>
      <c r="C16" s="5"/>
      <c r="D16" s="5"/>
      <c r="E16" s="5"/>
      <c r="F16" s="5"/>
      <c r="G16" s="5"/>
      <c r="H16" s="5"/>
    </row>
    <row r="18" customFormat="false" ht="30" hidden="false" customHeight="true" outlineLevel="0" collapsed="false">
      <c r="A18" s="3" t="s">
        <v>284</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285</v>
      </c>
    </row>
    <row r="2" customFormat="false" ht="15" hidden="false" customHeight="true" outlineLevel="0" collapsed="false">
      <c r="A2" s="7" t="s">
        <v>39</v>
      </c>
      <c r="B2" s="7" t="s">
        <v>286</v>
      </c>
      <c r="C2" s="7" t="s">
        <v>287</v>
      </c>
      <c r="D2" s="7" t="s">
        <v>288</v>
      </c>
      <c r="E2" s="7" t="s">
        <v>289</v>
      </c>
      <c r="F2" s="7" t="s">
        <v>290</v>
      </c>
    </row>
    <row r="3" customFormat="false" ht="43.5" hidden="false" customHeight="true" outlineLevel="0" collapsed="false">
      <c r="A3" s="11" t="n">
        <v>1</v>
      </c>
      <c r="B3" s="12" t="s">
        <v>291</v>
      </c>
      <c r="C3" s="12" t="s">
        <v>292</v>
      </c>
      <c r="D3" s="12" t="s">
        <v>293</v>
      </c>
      <c r="E3" s="12" t="s">
        <v>294</v>
      </c>
      <c r="F3" s="12" t="s">
        <v>295</v>
      </c>
    </row>
    <row r="4" customFormat="false" ht="43.5" hidden="false" customHeight="true" outlineLevel="0" collapsed="false">
      <c r="A4" s="11" t="n">
        <v>1</v>
      </c>
      <c r="B4" s="12" t="s">
        <v>296</v>
      </c>
      <c r="C4" s="12" t="s">
        <v>297</v>
      </c>
      <c r="D4" s="12" t="s">
        <v>298</v>
      </c>
      <c r="E4" s="12" t="s">
        <v>299</v>
      </c>
      <c r="F4" s="12" t="s">
        <v>300</v>
      </c>
    </row>
    <row r="5" customFormat="false" ht="43.5" hidden="false" customHeight="true" outlineLevel="0" collapsed="false">
      <c r="A5" s="11" t="n">
        <v>1</v>
      </c>
      <c r="B5" s="12" t="s">
        <v>301</v>
      </c>
      <c r="C5" s="12" t="s">
        <v>302</v>
      </c>
      <c r="D5" s="12" t="s">
        <v>303</v>
      </c>
      <c r="E5" s="12" t="s">
        <v>304</v>
      </c>
      <c r="F5" s="12" t="s">
        <v>305</v>
      </c>
    </row>
    <row r="6" customFormat="false" ht="43.5" hidden="false" customHeight="true" outlineLevel="0" collapsed="false">
      <c r="A6" s="11" t="n">
        <v>1</v>
      </c>
      <c r="B6" s="12" t="s">
        <v>306</v>
      </c>
      <c r="C6" s="12" t="s">
        <v>307</v>
      </c>
      <c r="D6" s="12" t="s">
        <v>308</v>
      </c>
      <c r="E6" s="12" t="s">
        <v>309</v>
      </c>
      <c r="F6" s="12" t="s">
        <v>310</v>
      </c>
    </row>
    <row r="7" customFormat="false" ht="43.5" hidden="false" customHeight="true" outlineLevel="0" collapsed="false">
      <c r="A7" s="11" t="n">
        <v>1</v>
      </c>
      <c r="B7" s="12" t="s">
        <v>311</v>
      </c>
      <c r="C7" s="12" t="s">
        <v>312</v>
      </c>
      <c r="D7" s="12" t="s">
        <v>313</v>
      </c>
      <c r="E7" s="12" t="s">
        <v>314</v>
      </c>
      <c r="F7" s="12" t="s">
        <v>315</v>
      </c>
    </row>
    <row r="8" customFormat="false" ht="43.5" hidden="false" customHeight="true" outlineLevel="0" collapsed="false">
      <c r="A8" s="11" t="n">
        <v>2</v>
      </c>
      <c r="B8" s="12" t="s">
        <v>316</v>
      </c>
      <c r="C8" s="12" t="s">
        <v>317</v>
      </c>
      <c r="D8" s="12" t="s">
        <v>318</v>
      </c>
      <c r="E8" s="12" t="s">
        <v>319</v>
      </c>
      <c r="F8" s="12" t="s">
        <v>320</v>
      </c>
    </row>
    <row r="9" customFormat="false" ht="43.5" hidden="false" customHeight="true" outlineLevel="0" collapsed="false">
      <c r="A9" s="11" t="n">
        <v>2</v>
      </c>
      <c r="B9" s="12" t="s">
        <v>321</v>
      </c>
      <c r="C9" s="12" t="s">
        <v>322</v>
      </c>
      <c r="D9" s="12" t="s">
        <v>323</v>
      </c>
      <c r="E9" s="12" t="s">
        <v>324</v>
      </c>
      <c r="F9" s="12" t="s">
        <v>325</v>
      </c>
    </row>
    <row r="10" customFormat="false" ht="43.5" hidden="false" customHeight="true" outlineLevel="0" collapsed="false">
      <c r="A10" s="11" t="n">
        <v>2</v>
      </c>
      <c r="B10" s="12" t="s">
        <v>326</v>
      </c>
      <c r="C10" s="12" t="s">
        <v>327</v>
      </c>
      <c r="D10" s="12" t="s">
        <v>328</v>
      </c>
      <c r="E10" s="12" t="s">
        <v>329</v>
      </c>
      <c r="F10" s="12" t="s">
        <v>330</v>
      </c>
    </row>
    <row r="11" customFormat="false" ht="43.5" hidden="false" customHeight="true" outlineLevel="0" collapsed="false">
      <c r="A11" s="11" t="n">
        <v>2</v>
      </c>
      <c r="B11" s="12" t="s">
        <v>331</v>
      </c>
      <c r="C11" s="12" t="s">
        <v>332</v>
      </c>
      <c r="D11" s="12" t="s">
        <v>333</v>
      </c>
      <c r="E11" s="12" t="s">
        <v>334</v>
      </c>
      <c r="F11" s="12" t="s">
        <v>335</v>
      </c>
    </row>
    <row r="12" customFormat="false" ht="43.5" hidden="false" customHeight="true" outlineLevel="0" collapsed="false">
      <c r="A12" s="11" t="n">
        <v>3</v>
      </c>
      <c r="B12" s="12" t="s">
        <v>336</v>
      </c>
      <c r="C12" s="12" t="s">
        <v>337</v>
      </c>
      <c r="D12" s="12" t="s">
        <v>338</v>
      </c>
      <c r="E12" s="12" t="s">
        <v>339</v>
      </c>
      <c r="F12" s="12" t="s">
        <v>340</v>
      </c>
    </row>
    <row r="13" customFormat="false" ht="43.5" hidden="false" customHeight="true" outlineLevel="0" collapsed="false">
      <c r="A13" s="11" t="n">
        <v>3</v>
      </c>
      <c r="B13" s="12" t="s">
        <v>341</v>
      </c>
      <c r="C13" s="12" t="s">
        <v>342</v>
      </c>
      <c r="D13" s="12" t="s">
        <v>343</v>
      </c>
      <c r="E13" s="12" t="s">
        <v>344</v>
      </c>
      <c r="F13" s="12" t="s">
        <v>345</v>
      </c>
    </row>
    <row r="14" customFormat="false" ht="43.5" hidden="false" customHeight="true" outlineLevel="0" collapsed="false">
      <c r="A14" s="11" t="n">
        <v>4</v>
      </c>
      <c r="B14" s="12" t="s">
        <v>346</v>
      </c>
      <c r="C14" s="12" t="s">
        <v>347</v>
      </c>
      <c r="D14" s="12" t="s">
        <v>348</v>
      </c>
      <c r="E14" s="12" t="s">
        <v>349</v>
      </c>
      <c r="F14" s="12" t="s">
        <v>350</v>
      </c>
    </row>
    <row r="15" customFormat="false" ht="23.25" hidden="false" customHeight="true" outlineLevel="0" collapsed="false">
      <c r="A15" s="11" t="n">
        <v>4</v>
      </c>
      <c r="B15" s="12" t="s">
        <v>351</v>
      </c>
      <c r="C15" s="12" t="s">
        <v>352</v>
      </c>
      <c r="D15" s="12" t="s">
        <v>353</v>
      </c>
      <c r="E15" s="12" t="s">
        <v>354</v>
      </c>
      <c r="F15" s="12" t="s">
        <v>355</v>
      </c>
    </row>
    <row r="16" customFormat="false" ht="23.25" hidden="false" customHeight="true" outlineLevel="0" collapsed="false">
      <c r="A16" s="11" t="n">
        <v>5</v>
      </c>
      <c r="B16" s="12" t="s">
        <v>356</v>
      </c>
      <c r="C16" s="12" t="s">
        <v>357</v>
      </c>
      <c r="D16" s="12" t="s">
        <v>358</v>
      </c>
      <c r="E16" s="12" t="s">
        <v>359</v>
      </c>
      <c r="F16" s="12" t="s">
        <v>360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361</v>
      </c>
    </row>
    <row r="3" customFormat="false" ht="15" hidden="false" customHeight="true" outlineLevel="0" collapsed="false">
      <c r="A3" s="4" t="s">
        <v>362</v>
      </c>
    </row>
    <row r="4" customFormat="false" ht="15" hidden="false" customHeight="true" outlineLevel="0" collapsed="false">
      <c r="A4" s="7" t="s">
        <v>363</v>
      </c>
      <c r="B4" s="7" t="s">
        <v>364</v>
      </c>
      <c r="C4" s="7" t="s">
        <v>365</v>
      </c>
      <c r="D4" s="7" t="s">
        <v>366</v>
      </c>
      <c r="E4" s="7" t="s">
        <v>367</v>
      </c>
    </row>
    <row r="5" customFormat="false" ht="39.75" hidden="false" customHeight="true" outlineLevel="0" collapsed="false">
      <c r="A5" s="23" t="s">
        <v>368</v>
      </c>
      <c r="B5" s="12" t="s">
        <v>369</v>
      </c>
      <c r="C5" s="12" t="s">
        <v>370</v>
      </c>
      <c r="D5" s="12" t="s">
        <v>371</v>
      </c>
      <c r="E5" s="12" t="s">
        <v>372</v>
      </c>
    </row>
    <row r="6" customFormat="false" ht="39.75" hidden="false" customHeight="true" outlineLevel="0" collapsed="false">
      <c r="A6" s="23" t="s">
        <v>373</v>
      </c>
      <c r="B6" s="12" t="s">
        <v>374</v>
      </c>
      <c r="C6" s="12" t="s">
        <v>375</v>
      </c>
      <c r="D6" s="12" t="s">
        <v>376</v>
      </c>
      <c r="E6" s="12" t="s">
        <v>377</v>
      </c>
    </row>
    <row r="7" customFormat="false" ht="39.75" hidden="false" customHeight="true" outlineLevel="0" collapsed="false">
      <c r="A7" s="23" t="s">
        <v>378</v>
      </c>
      <c r="B7" s="12" t="s">
        <v>379</v>
      </c>
      <c r="C7" s="12" t="s">
        <v>380</v>
      </c>
      <c r="D7" s="12" t="s">
        <v>381</v>
      </c>
      <c r="E7" s="12" t="s">
        <v>382</v>
      </c>
    </row>
    <row r="8" customFormat="false" ht="39.75" hidden="false" customHeight="true" outlineLevel="0" collapsed="false">
      <c r="A8" s="23" t="s">
        <v>383</v>
      </c>
      <c r="B8" s="12" t="s">
        <v>384</v>
      </c>
      <c r="C8" s="12" t="s">
        <v>385</v>
      </c>
      <c r="D8" s="12" t="s">
        <v>386</v>
      </c>
      <c r="E8" s="12" t="s">
        <v>387</v>
      </c>
    </row>
    <row r="9" customFormat="false" ht="39.75" hidden="false" customHeight="true" outlineLevel="0" collapsed="false">
      <c r="A9" s="23" t="s">
        <v>388</v>
      </c>
      <c r="B9" s="12" t="s">
        <v>389</v>
      </c>
      <c r="C9" s="12" t="s">
        <v>390</v>
      </c>
      <c r="D9" s="12" t="s">
        <v>391</v>
      </c>
      <c r="E9" s="12" t="s">
        <v>392</v>
      </c>
    </row>
    <row r="11" customFormat="false" ht="15" hidden="false" customHeight="true" outlineLevel="0" collapsed="false">
      <c r="A11" s="4" t="s">
        <v>393</v>
      </c>
    </row>
    <row r="12" customFormat="false" ht="42" hidden="false" customHeight="true" outlineLevel="0" collapsed="false">
      <c r="A12" s="5" t="s">
        <v>394</v>
      </c>
      <c r="B12" s="5"/>
      <c r="C12" s="5"/>
      <c r="D12" s="5"/>
      <c r="E12" s="5"/>
    </row>
    <row r="13" customFormat="false" ht="42" hidden="false" customHeight="true" outlineLevel="0" collapsed="false">
      <c r="A13" s="5" t="s">
        <v>395</v>
      </c>
      <c r="B13" s="5"/>
      <c r="C13" s="5"/>
      <c r="D13" s="5"/>
      <c r="E13" s="5"/>
    </row>
    <row r="14" customFormat="false" ht="42" hidden="false" customHeight="true" outlineLevel="0" collapsed="false">
      <c r="A14" s="5" t="s">
        <v>396</v>
      </c>
      <c r="B14" s="5"/>
      <c r="C14" s="5"/>
      <c r="D14" s="5"/>
      <c r="E14" s="5"/>
    </row>
    <row r="15" customFormat="false" ht="42" hidden="false" customHeight="true" outlineLevel="0" collapsed="false">
      <c r="A15" s="5" t="s">
        <v>397</v>
      </c>
      <c r="B15" s="5"/>
      <c r="C15" s="5"/>
      <c r="D15" s="5"/>
      <c r="E15" s="5"/>
    </row>
    <row r="16" customFormat="false" ht="42" hidden="false" customHeight="true" outlineLevel="0" collapsed="false">
      <c r="A16" s="5" t="s">
        <v>398</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2026-07-25T19:57:51Z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