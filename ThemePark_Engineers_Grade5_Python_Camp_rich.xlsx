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Scope &amp; Sequence" sheetId="2" state="visible" r:id="rId4"/>
    <sheet name="Daily Block Plan" sheetId="3" state="visible" r:id="rId5"/>
    <sheet name="Standards Alignment" sheetId="4" state="visible" r:id="rId6"/>
    <sheet name="Misconceptions" sheetId="5" state="visible" r:id="rId7"/>
    <sheet name="Assessmen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<sst xmlns="http://schemas.openxmlformats.org/spreadsheetml/2006/main" count="474" uniqueCount="394">
  <si>
    <t xml:space="preserve">Theme Park Engineers - Grade 5 Python Camp</t>
  </si>
  <si>
    <t xml:space="preserve">A one-week intensive (Monday-Friday, 1:00-4:00 pm) adapted from the 16-session Grade 5 Introductory Python scope &amp; sequence, mapped to the 2026 CSTA PK-12 Computer Science Standards.</t>
  </si>
  <si>
    <t xml:space="preserve">THE PREMISE</t>
  </si>
  <si>
    <t xml:space="preserve">Campers are the new junior engineering crew at Loopline Park, a (fictional) theme park. Every program they write all week is something the park 'needs': the entrance marquee, the ticket booth, ride blueprints, safety gates, the midway game, the prize wheel, and finally an attraction of their own design, unveiled at Friday's Grand Opening. The theme is a wrapper - the underlying concept sequence, misconceptions, and standards mapping are unchanged from the source scope &amp; sequence.</t>
  </si>
  <si>
    <t xml:space="preserve">EDITABLE ASSUMPTIONS</t>
  </si>
  <si>
    <t xml:space="preserve">Cells in yellow with blue text are yours to change.</t>
  </si>
  <si>
    <t xml:space="preserve">Parameter</t>
  </si>
  <si>
    <t xml:space="preserve">Value</t>
  </si>
  <si>
    <t xml:space="preserve">Camp days</t>
  </si>
  <si>
    <t xml:space="preserve">Scheduled minutes per day (1:00-4:00)</t>
  </si>
  <si>
    <t xml:space="preserve">Break + transition minutes per day</t>
  </si>
  <si>
    <t xml:space="preserve">Instructional minutes per day</t>
  </si>
  <si>
    <t xml:space="preserve">Students per section</t>
  </si>
  <si>
    <t xml:space="preserve">WHAT THIS IS</t>
  </si>
  <si>
    <t xml:space="preserve">A camp adaptation of a first text-based programming course for grade 5 (ages 10-11). It assumes prior block-based experience (Scratch or similar) but no text-based coding.</t>
  </si>
  <si>
    <t xml:space="preserve">The sequence is turtle-first: iteration is taught through turtle graphics because the visual feedback makes an abstract construct concrete, and the polygon arithmetic (360 / sides) reinforces grade-5 geometry. Console I/O carries the conditionals and lists work. In camp terms: turtle drawings are 'ride blueprints,' console programs are 'park operations.'</t>
  </si>
  <si>
    <t xml:space="preserve">The original course delivers 800 instructional minutes across 16 weekly sessions. This camp delivers 750 instructional minutes across 5 consecutive afternoons (150/day after breaks and transitions), plus the Friday showcase. Coverage is equivalent; retention is not - see the pacing caution below.</t>
  </si>
  <si>
    <t xml:space="preserve">HOW TO USE IT</t>
  </si>
  <si>
    <t xml:space="preserve">Scope &amp; Sequence - the day-level planning grid. One row per day. Start here.</t>
  </si>
  <si>
    <t xml:space="preserve">Daily Block Plan - the afternoon broken into timed blocks: Park Briefing (launch), two Build Blocks, Test Ride (share/debrief), and the Maintenance Log (exit ticket).</t>
  </si>
  <si>
    <t xml:space="preserve">Standards Alignment - CSTA 2026 grade-5 codes with day counts that update automatically.</t>
  </si>
  <si>
    <t xml:space="preserve">Misconceptions - the predictable failure points in camp costume, and the diagnostic move for each.</t>
  </si>
  <si>
    <t xml:space="preserve">Assessment - daily exit tickets, the Grand Opening rubric, and what is deliberately not assessed.</t>
  </si>
  <si>
    <t xml:space="preserve">SCOPE DECISIONS WORTH KNOWING (unchanged from the source course)</t>
  </si>
  <si>
    <t xml:space="preserve">return values are deliberately excluded. Functions are introduced as named, reusable procedures only. Students who reach for return are supported individually, not taught it whole-class.</t>
  </si>
  <si>
    <t xml:space="preserve">while loops are excluded. Infinite loops cost more instructional time than the construct is worth at this level, and every grade-5 use case is served by for with range().</t>
  </si>
  <si>
    <t xml:space="preserve">Dictionaries, classes, file I/O, and exception handling are out of scope entirely.</t>
  </si>
  <si>
    <t xml:space="preserve">One machine-learning block is included because the 2026 standards require it at grade 5. It uses a no-code training tool; it is not a Python block.</t>
  </si>
  <si>
    <t xml:space="preserve">rich is the one third-party package (pip install rich). It restyles console output only - from rich import print, plus markup tags inside strings. It introduces no new constructs, so the concept sequence, misconceptions, and standards mapping are unchanged. It appears on Day 1 (paint the marquee) and Day 5 (capstone polish), and is deliberately kept OUT of Day 3 so markup brackets never collide with list brackets on the day lists are introduced.</t>
  </si>
  <si>
    <t xml:space="preserve">PACING CAUTION FOR THE CAMP FORMAT</t>
  </si>
  <si>
    <t xml:space="preserve">Compression trades spaced practice for momentum. A weekly course gets fifteen nights of sleep between iteration and functions; this camp gets two. Expect Day 4 (functions) to feel earlier than it 'should.' The 15-minute Park Briefing each day is not a warm-up filler - it is the replacement for spaced retrieval, and every briefing re-traces the previous day's build. Do not cut it to buy build time.</t>
  </si>
  <si>
    <t xml:space="preserve">Three hours is long for ten-year-olds. The schedule assumes a real 15-minute break and a change of activity mode roughly every 25-30 minutes within blocks (unplugged, typed, shared). Friday is the tightest day; the pressure valve is the nested-loop exploration on Tuesday, which can be shortened to bank 15 minutes of capstone planning into Thursday's close.</t>
  </si>
  <si>
    <t xml:space="preserve">SOURCE AND VERIFICATION</t>
  </si>
  <si>
    <t xml:space="preserve">Standards: Computer Science Teachers Association. (2026). 2026 CSTA PK-12 computer science standards. https://csteachers.org/pk12standards/</t>
  </si>
  <si>
    <t xml:space="preserve">The four codes marked Verified on the Standards Alignment tab were read directly from the published PDF (carried over from the source scope &amp; sequence).</t>
  </si>
  <si>
    <t xml:space="preserve">The Programming (PRO) codes are marked Needs verification. The subconcepts and the grade-5 progression language are confirmed, but the two-digit identifiers were not readable in the source retrieved. Confirm them at https://csteachers.org/pk12standards/view before distributing this document.</t>
  </si>
  <si>
    <t xml:space="preserve">CSTA assumes roughly 20-40 hours of CS instruction per year across grades PK-5. This camp consumes part of that envelope, not all of it.</t>
  </si>
  <si>
    <t xml:space="preserve">The standards are licensed CC BY-NC-SA 4.0, so adapting them into a document like this is permitted with attribution and non-commercial use. This document is mapped to the 2026 CSTA standards; it is not CSTA-reviewed or CSTA-approved.</t>
  </si>
  <si>
    <t xml:space="preserve">Scope &amp; Sequence - Theme Park Engineers (Grade 5 Python Camp, Mon-Fri 1:00-4:00)</t>
  </si>
  <si>
    <t xml:space="preserve">Day</t>
  </si>
  <si>
    <t xml:space="preserve">Day Title</t>
  </si>
  <si>
    <t xml:space="preserve">When</t>
  </si>
  <si>
    <t xml:space="preserve">Instructional Minutes</t>
  </si>
  <si>
    <t xml:space="preserve">Essential Question</t>
  </si>
  <si>
    <t xml:space="preserve">Learning Objectives (students will be able to...)</t>
  </si>
  <si>
    <t xml:space="preserve">Python Introduced</t>
  </si>
  <si>
    <t xml:space="preserve">Anchor Artifact</t>
  </si>
  <si>
    <t xml:space="preserve">CSTA 2026 (Grade 5)</t>
  </si>
  <si>
    <t xml:space="preserve">Formative Check</t>
  </si>
  <si>
    <t xml:space="preserve">Misconception to Preempt</t>
  </si>
  <si>
    <t xml:space="preserve">Opening the Gates - Output, Variables &amp; Input</t>
  </si>
  <si>
    <t xml:space="preserve">Monday 1:00-4:00</t>
  </si>
  <si>
    <t xml:space="preserve">How do I make a computer do exactly what I say - and remember what a guest tells it?</t>
  </si>
  <si>
    <t xml:space="preserve">Run a Python program and read its output; use print() with strings and # comments; identify a syntax error from a traceback and correct it; assign values to variables with meaningful names; retrieve guest input with input(); convert a string to a number with int(); combine variables into an output message with an f-string; style console output with rich markup tags inside strings.</t>
  </si>
  <si>
    <t xml:space="preserve">print(), strings, comments (#), variables, input(), int(), f-strings, rich (styled console output)</t>
  </si>
  <si>
    <t xml:space="preserve">Park entrance marquee banner + Ticket Booth greeter that computes a ticket price</t>
  </si>
  <si>
    <t xml:space="preserve">PRO-PD; PRO-TR; PRO-VD</t>
  </si>
  <si>
    <t xml:space="preserve">Cold-call: predict the output before running. Trace table for the ticket-price program.</t>
  </si>
  <si>
    <t xml:space="preserve">Believing the computer infers intent - run a misspelled print() on the projector. Reading = as 'equals' rather than 'gets the value of' - labeled-box demo.</t>
  </si>
  <si>
    <t xml:space="preserve">The Blueprint Studio - Iteration</t>
  </si>
  <si>
    <t xml:space="preserve">Tuesday 1:00-4:00</t>
  </si>
  <si>
    <t xml:space="preserve">How do I repeat work without repeating myself?</t>
  </si>
  <si>
    <t xml:space="preserve">Draw with turtle commands; use a for loop with range() to repeat a block; calculate turn angle as 360/sides; nest one loop inside another to produce a repeated rotated figure.</t>
  </si>
  <si>
    <t xml:space="preserve">turtle, for, range(), nested for</t>
  </si>
  <si>
    <t xml:space="preserve">Ferris-wheel rosette blueprint drawn with nested loops</t>
  </si>
  <si>
    <t xml:space="preserve">ALG-PS-01; PRO-PD</t>
  </si>
  <si>
    <t xml:space="preserve">Unplugged: walk the square coaster track as a class before coding it. Class table of track sides vs. turn angle.</t>
  </si>
  <si>
    <t xml:space="preserve">Believing the loop body runs once - narrate each pass aloud. Using the interior angle instead of 360/sides.</t>
  </si>
  <si>
    <t xml:space="preserve">Safety Gates &amp; the Midway - Selection &amp; Lists</t>
  </si>
  <si>
    <t xml:space="preserve">Wednesday 1:00-4:00</t>
  </si>
  <si>
    <t xml:space="preserve">How does a program make a decision, and how does it hold many values at once?</t>
  </si>
  <si>
    <t xml:space="preserve">Write conditions using comparison operators; branch with if / elif / else; explain why only one branch executes; combine a loop with a conditional; create a list and access an element by index; explain zero-based indexing; iterate over a list with a for loop.</t>
  </si>
  <si>
    <t xml:space="preserve">if / elif / else, ==, &lt;, &gt;, booleans, lists, indexing, len()</t>
  </si>
  <si>
    <t xml:space="preserve">Ride safety gate (height check) + midway guessing game with hot/cold hints + printed ride roster</t>
  </si>
  <si>
    <t xml:space="preserve">ALG-PS-01; PRO-PD; PRO-VD</t>
  </si>
  <si>
    <t xml:space="preserve">Sort 'tall enough to ride?' scenario cards into True/False before coding. Index hunt on the ride queue.</t>
  </si>
  <si>
    <t xml:space="preserve">Confusing = with ==. Lists start at 1 - label the first queue spot 0 and let the discomfort sit.</t>
  </si>
  <si>
    <t xml:space="preserve">The Prize Wheel &amp; Blueprint Stamps - Randomness &amp; Functions</t>
  </si>
  <si>
    <t xml:space="preserve">Thursday 1:00-4:00</t>
  </si>
  <si>
    <t xml:space="preserve">How do I add surprise, and how do I name a thing I do over and over?</t>
  </si>
  <si>
    <t xml:space="preserve">Select a random element with random.choice(); define a function with def and call it by name; pass a parameter to change its behavior; refactor the Day-2 rosette into draw_wheel(spokes, size).</t>
  </si>
  <si>
    <t xml:space="preserve">random.choice(), def, parameters, function calls</t>
  </si>
  <si>
    <t xml:space="preserve">Prize-wheel booth program + refactored draw_wheel() blueprint stamp</t>
  </si>
  <si>
    <t xml:space="preserve">PRO-RD; PRO-VD; ALG-PS-01; PRO-PD</t>
  </si>
  <si>
    <t xml:space="preserve">Give students working code and ask which lines repeat. Run the defined-but-never-called function and sit with the silence.</t>
  </si>
  <si>
    <t xml:space="preserve">Defining is calling - show the silent no-output run and let them diagnose it. A list is a single value - the list is the shelf, the index picks the ride.</t>
  </si>
  <si>
    <t xml:space="preserve">Grand Opening - Coaster Capstone</t>
  </si>
  <si>
    <t xml:space="preserve">Friday 1:00-4:00</t>
  </si>
  <si>
    <t xml:space="preserve">Can I plan, build, and open a ride of my own - and where does a roller coaster's speed come from?</t>
  </si>
  <si>
    <t xml:space="preserve">Trace a live simulation against a track list using the on-screen dashboard; design a coaster track that completes (first hill tallest, ends at 0) and revise it with a goal; build an Operator's Booth with sequence, a loop, and a decision that selects the track; narrate the three physics lines aloud; read a traceback and debug independently during the build.</t>
  </si>
  <si>
    <t xml:space="preserve">None new - the pygame coaster engine is provided read-only (math.sqrt and the track list previewed on Days 3-4); student-selected review, incl. rich for on-screen polish</t>
  </si>
  <si>
    <t xml:space="preserve">Operator's Booth program + student-designed coaster track (Version 1 -&gt; Version 2) + Grand Opening walkthrough</t>
  </si>
  <si>
    <t xml:space="preserve">ALG-PS-01; ALG-IM-03; SYS-SE-13; PRO-PD; PRO-VD; PRO-RD; PRO-TR</t>
  </si>
  <si>
    <t xml:space="preserve">Blueprint approved before any code - a new track list alone is not a capstone. Ride Log Grid A checked live against the dashboard. Independent debugging log during the build.</t>
  </si>
  <si>
    <t xml:space="preserve">Believing a new track list alone is a capstone - the booth is the program, the coaster is the finale. Scope creep - cap it: one screen, one loop, one decision.</t>
  </si>
  <si>
    <t xml:space="preserve">TOTAL</t>
  </si>
  <si>
    <t xml:space="preserve">Total instructional contact hours</t>
  </si>
  <si>
    <t xml:space="preserve">Scheduled time is 900 minutes (5 x 180); the difference is breaks, transitions, and the Friday showcase overhead. CSTA assumes ~20-40 hours of CS per year across PK-5; this camp is one component of that, not the whole allocation.</t>
  </si>
  <si>
    <t xml:space="preserve">Daily Block Plan - each afternoon runs Park Briefing &gt; Build Block A &gt; Fast-Pass Break &gt; Build Block B &gt; Test Ride &gt; Maintenance Log</t>
  </si>
  <si>
    <t xml:space="preserve">Time</t>
  </si>
  <si>
    <t xml:space="preserve">Block</t>
  </si>
  <si>
    <t xml:space="preserve">Focus</t>
  </si>
  <si>
    <t xml:space="preserve">What Happens</t>
  </si>
  <si>
    <t xml:space="preserve">Check / Exit Ticket</t>
  </si>
  <si>
    <t xml:space="preserve">Materials &amp; Setup</t>
  </si>
  <si>
    <t xml:space="preserve">1:00-1:15</t>
  </si>
  <si>
    <t xml:space="preserve">Park Briefing</t>
  </si>
  <si>
    <t xml:space="preserve">First program</t>
  </si>
  <si>
    <t xml:space="preserve">Welcome to the crew: campers are Loopline Park's new junior engineers. Show three short programs; ask which will run and why. Establish the week's rule: the computer does only what is written.</t>
  </si>
  <si>
    <t xml:space="preserve">Thumbs vote on each program before the reveal.</t>
  </si>
  <si>
    <t xml:space="preserve">Editor accounts pre-created and tested; crew badges (optional)</t>
  </si>
  <si>
    <t xml:space="preserve">1:15-2:10</t>
  </si>
  <si>
    <t xml:space="preserve">Build Block A</t>
  </si>
  <si>
    <t xml:space="preserve">print(), strings &amp; tracebacks</t>
  </si>
  <si>
    <t xml:space="preserve">Type and run a print() greeting for the park gate. Break it on purpose (drop a quote, misspell print), read the traceback last line first, fix it. Then build the multi-line LOOPLINE PARK marquee banner, using # comments to label sections. Then paint it: from rich import print upgrades print() itself, and markup tags like [bold yellow]...[/bold yellow] inside the string add color and weight. Recolor the marquee; the code is otherwise unchanged.</t>
  </si>
  <si>
    <t xml:space="preserve">Collect the error messages seen; name each one as a class.</t>
  </si>
  <si>
    <t xml:space="preserve">Printed traceback reference card; rich installed on every machine before Monday (pip install rich)</t>
  </si>
  <si>
    <t xml:space="preserve">2:10-2:25</t>
  </si>
  <si>
    <t xml:space="preserve">Fast-Pass Break</t>
  </si>
  <si>
    <t xml:space="preserve">-</t>
  </si>
  <si>
    <t xml:space="preserve">Movement break, away from screens.</t>
  </si>
  <si>
    <t xml:space="preserve">2:25-3:25</t>
  </si>
  <si>
    <t xml:space="preserve">Build Block B</t>
  </si>
  <si>
    <t xml:space="preserve">Variables, input() &amp; int()</t>
  </si>
  <si>
    <t xml:space="preserve">Labeled-box demo: value goes in, name on the outside. Assign three variables, print, reassign one, print again. Then the Ticket Booth: greet the guest by name with input(), ask their age, compute a ticket price. Trigger the '2' + '3' gives 23 bug on purpose; fix it with int() at the door.</t>
  </si>
  <si>
    <t xml:space="preserve">Trace table on the board for the 5-line ticket program. Why did '2' + '3' give 23?</t>
  </si>
  <si>
    <t xml:space="preserve">Trace-table handout; ticket-price sign for the wall</t>
  </si>
  <si>
    <t xml:space="preserve">3:25-3:50</t>
  </si>
  <si>
    <t xml:space="preserve">Test Ride</t>
  </si>
  <si>
    <t xml:space="preserve">Share &amp; debrief</t>
  </si>
  <si>
    <t xml:space="preserve">Gallery walk of painted marquee banners. Two volunteers run their Ticket Booth live with a classmate as the guest.</t>
  </si>
  <si>
    <t xml:space="preserve">Ask the room: what does the # symbol do?</t>
  </si>
  <si>
    <t xml:space="preserve">Projector rotation list</t>
  </si>
  <si>
    <t xml:space="preserve">3:50-4:00</t>
  </si>
  <si>
    <t xml:space="preserve">Maintenance Log</t>
  </si>
  <si>
    <t xml:space="preserve">Exit ticket</t>
  </si>
  <si>
    <t xml:space="preserve">One question on paper: After price = 20 and then price = 15, what does price hold? And in one sentence: why do we need int()?</t>
  </si>
  <si>
    <t xml:space="preserve">Sorted into reteach / go piles before Tuesday.</t>
  </si>
  <si>
    <t xml:space="preserve">Paper slips</t>
  </si>
  <si>
    <t xml:space="preserve">Re-trace + robot walk</t>
  </si>
  <si>
    <t xml:space="preserve">Re-trace Monday: rebuild the ticket program aloud from memory as a class. Then the robot walk: students direct the teacher around a square coaster track with only forward and turn instructions.</t>
  </si>
  <si>
    <t xml:space="preserve">How many instructions did the square take?</t>
  </si>
  <si>
    <t xml:space="preserve">Floor tape for the track</t>
  </si>
  <si>
    <t xml:space="preserve">Turtle basics &amp; for loops</t>
  </si>
  <si>
    <t xml:space="preserve">forward(), right(), penup/pendown. Draw the square track the long way - eight lines. Count the repeated lines, then rewrite with for and range(). Generalize: pentagon, hexagon, near-circle track loops. Derive turn angle = 360/sides and build the class track-geometry chart.</t>
  </si>
  <si>
    <t xml:space="preserve">What angle for an octagon track?</t>
  </si>
  <si>
    <t xml:space="preserve">Turtle command reference; sides/angle chart poster</t>
  </si>
  <si>
    <t xml:space="preserve">Movement break.</t>
  </si>
  <si>
    <t xml:space="preserve">Nested loops</t>
  </si>
  <si>
    <t xml:space="preserve">Show a finished Ferris-wheel rosette; ask what is being repeated. Wrap the polygon loop in an outer loop that rotates between repeats. Vary spoke count and rotation angle to design each camper's own wheel. (Pressure valve: if the group is fast, bank 15 minutes here for Thursday capstone planning.)</t>
  </si>
  <si>
    <t xml:space="preserve">Which loop runs more times, inner or outer?</t>
  </si>
  <si>
    <t xml:space="preserve">Spirograph/rosette example sheet</t>
  </si>
  <si>
    <t xml:space="preserve">Blueprint gallery</t>
  </si>
  <si>
    <t xml:space="preserve">Blueprint gallery of wheels. Each camper names their two loop variables and what each controls. Close with the 90-second coaster teaser: run coaster_pygame.py once on the projector - these four physics lines ran 1,141 times to make that ride; Friday you will read every one.</t>
  </si>
  <si>
    <t xml:space="preserve">Compare two designs: what changed in the code?</t>
  </si>
  <si>
    <t xml:space="preserve">Printed or projected gallery</t>
  </si>
  <si>
    <t xml:space="preserve">What angle does the turtle turn for an octagon? Which loop runs more times, inner or outer?</t>
  </si>
  <si>
    <t xml:space="preserve">Reteach flag: anyone answering with the interior angle.</t>
  </si>
  <si>
    <t xml:space="preserve">Re-trace + card sort</t>
  </si>
  <si>
    <t xml:space="preserve">Re-trace Tuesday: one volunteer narrates the rosette loop pass by pass. Then sort 'tall enough to ride?' scenario cards into True and False piles.</t>
  </si>
  <si>
    <t xml:space="preserve">Read each condition aloud as a question: 'is height over 48?'</t>
  </si>
  <si>
    <t xml:space="preserve">Scenario cards</t>
  </si>
  <si>
    <t xml:space="preserve">if / elif / else</t>
  </si>
  <si>
    <t xml:space="preserve">Build the Ride Safety Gate: if/else on a height check ('you must be 48 inches to ride The Comet'), then add elif for a three-way band: child rides, family rides, thrill rides. Say == aloud as 'is it the same?' every single time.</t>
  </si>
  <si>
    <t xml:space="preserve">Why did only one branch print?</t>
  </si>
  <si>
    <t xml:space="preserve">Height-check starter file; == vs = color-coded card</t>
  </si>
  <si>
    <t xml:space="preserve">Loop + conditional, then lists</t>
  </si>
  <si>
    <t xml:space="preserve">Build the Midway guessing game with hot/cold hints inside a counted loop - play a classmate's booth. Then lists: numbered cups as the ride queue, first spot labeled 0. Build the park's ride roster as a list, print rides by index, then loop over the whole roster to print the park map. Close with the Friday preview (Class Card 01): the track list - len(track), track[0], track[7], and last index = len() minus one.</t>
  </si>
  <si>
    <t xml:space="preserve">Where does the condition live relative to the loop? Why does the last index equal len() minus one?</t>
  </si>
  <si>
    <t xml:space="preserve">Game starter file; numbered cups or cards</t>
  </si>
  <si>
    <t xml:space="preserve">Play the midway</t>
  </si>
  <si>
    <t xml:space="preserve">Campers rotate and play two classmates' guessing-game booths (two, not four - Block B runs long with the coaster preview). Index hunt on the roster: teacher points at a ride, campers name its index.</t>
  </si>
  <si>
    <t xml:space="preserve">Name one bug you fixed today.</t>
  </si>
  <si>
    <t xml:space="preserve">Rotation timer</t>
  </si>
  <si>
    <t xml:space="preserve">Write the condition for 'height is over 48'. For a 4-ride roster, what is the last index?</t>
  </si>
  <si>
    <t xml:space="preserve">Reteach flag: = written where == belongs.</t>
  </si>
  <si>
    <t xml:space="preserve">Re-trace + prize draw</t>
  </si>
  <si>
    <t xml:space="preserve">Re-trace Wednesday: trace the safety gate with one specific height. Then draw a prize from a hat: why is it different each time?</t>
  </si>
  <si>
    <t xml:space="preserve">Predict-the-output warm-up on two snippets.</t>
  </si>
  <si>
    <t xml:space="preserve">Hat + prize slips</t>
  </si>
  <si>
    <t xml:space="preserve">random.choice()</t>
  </si>
  <si>
    <t xml:space="preserve">Build the Prize Wheel booth: random.choice() on a camper-written prize list. Run it five times - why different each run? Then Class Card 02, whole-class: the speed of falling - the math.sqrt ladder (drop 20 / 40 / 80) and the Fury 325 reality check (99 m predicts 99 mph; the real ride tops at 95 - name where the missing 4 mph go).</t>
  </si>
  <si>
    <t xml:space="preserve">What does random.choice() return?</t>
  </si>
  <si>
    <t xml:space="preserve">random module cheat sheet</t>
  </si>
  <si>
    <t xml:space="preserve">Functions &amp; parameters</t>
  </si>
  <si>
    <t xml:space="preserve">Show a program with the same six drawing lines pasted three times. Wrap the block in def draw_wheel() - the blueprint stamp. Run it with no call; sit with the silence, then diagnose. Add a spokes parameter, then size. Regenerate Tuesday's Ferris-wheel art with three calls. Close by projecting the coaster's three dashboard lines: f-strings with speed and height flowing in - Monday's receipt, Friday's instruments.</t>
  </si>
  <si>
    <t xml:space="preserve">What broke when we forgot to call it? Compare line counts before and after.</t>
  </si>
  <si>
    <t xml:space="preserve">Day-2 rosette code; refactor worksheet</t>
  </si>
  <si>
    <t xml:space="preserve">One stamp, three wheels</t>
  </si>
  <si>
    <t xml:space="preserve">Each camper shows one function producing three different wheels. Close with 15 minutes of capstone preview: Friday's attraction is a coaster with an Operator's Booth - sketch a first track shape and one booth idea on the idea slip.</t>
  </si>
  <si>
    <t xml:space="preserve">What does a parameter let you change?</t>
  </si>
  <si>
    <t xml:space="preserve">Idea slips</t>
  </si>
  <si>
    <t xml:space="preserve">What are the two steps to using a function?</t>
  </si>
  <si>
    <t xml:space="preserve">Reteach flag: 'defining is calling' answers.</t>
  </si>
  <si>
    <t xml:space="preserve">Re-trace + first ride</t>
  </si>
  <si>
    <t xml:space="preserve">Re-trace Thursday: what does the sqrt line print for drop = 80? Frame the day: this afternoon you design a ride and open it to the public. Run the stock coaster once on the projector - 19 seconds, 70 mph.</t>
  </si>
  <si>
    <t xml:space="preserve">Predict the top speed before the projector run.</t>
  </si>
  <si>
    <t xml:space="preserve">Projector; coaster.py tested on the teacher machine</t>
  </si>
  <si>
    <t xml:space="preserve">The engine &amp; the Ride Log</t>
  </si>
  <si>
    <t xml:space="preserve">Paste coaster.py (or the turtle edition) and run the stock ride. Find the four physics lines. Complete Ride Log Grid A: heights from the list first, then TIME and SPEED at towers 3, 9, 11, 13, 16 off the live dashboard. Then the hinge: the 55-meter hill - answered before any design work.</t>
  </si>
  <si>
    <t xml:space="preserve">Grid A collected. Hinge answered.</t>
  </si>
  <si>
    <t xml:space="preserve">Printed Ride Logs; pygame verified on camp hardware by Wednesday, or run the week on the turtle edition</t>
  </si>
  <si>
    <t xml:space="preserve">2:10-2:20</t>
  </si>
  <si>
    <t xml:space="preserve">Short break (Friday protects showcase time).</t>
  </si>
  <si>
    <t xml:space="preserve">2:20-2:45</t>
  </si>
  <si>
    <t xml:space="preserve">Build Block B1</t>
  </si>
  <si>
    <t xml:space="preserve">Capstone blueprint</t>
  </si>
  <si>
    <t xml:space="preserve">Design the Operator's Booth: a visual blueprint with sequence, one loop, and the decision that chooses the track - plus the track design (10+ towers, first tallest, ends at 0, completes). Studio rule, said aloud at approval: a new track list alone is not a capstone.</t>
  </si>
  <si>
    <t xml:space="preserve">Blueprint approved and signed.</t>
  </si>
  <si>
    <t xml:space="preserve">Blueprint template; Track Design Card on the Coaster Lab page</t>
  </si>
  <si>
    <t xml:space="preserve">2:45-3:30</t>
  </si>
  <si>
    <t xml:space="preserve">Build Block B2</t>
  </si>
  <si>
    <t xml:space="preserve">Capstone build &amp; debug</t>
  </si>
  <si>
    <t xml:space="preserve">Build the booth above the engine; delete the engine's own track line - the booth decides. Track Version 1 -&gt; Version 2 with the what-changed note. Debugging protocol on the wall: read the error first, last line first. Teacher circulates; no fixing on the camper's behalf.</t>
  </si>
  <si>
    <t xml:space="preserve">Debugging log collected. V1/V2 note on the Ride Log.</t>
  </si>
  <si>
    <t xml:space="preserve">Presentation order posted; rich markup cheat sheet at each seat</t>
  </si>
  <si>
    <t xml:space="preserve">3:30-3:55</t>
  </si>
  <si>
    <t xml:space="preserve">GRAND OPENING</t>
  </si>
  <si>
    <t xml:space="preserve">Two-minute walkthroughs: run the booth live with a classmate as guest, narrate the three physics lines on your own track, and name one design choice and who the ride serves - and who it doesn't. Close with the security conversation anchored to their own program: who can see, change, or reach it?</t>
  </si>
  <si>
    <t xml:space="preserve">Reflection slip collected. Each camper narrates the three lines.</t>
  </si>
  <si>
    <t xml:space="preserve">Presentation timer; families invited if the site allows</t>
  </si>
  <si>
    <t xml:space="preserve">3:55-4:00</t>
  </si>
  <si>
    <t xml:space="preserve">One question on paper: name one thing you would change about your ride - and one thing you would keep no matter what.</t>
  </si>
  <si>
    <t xml:space="preserve">CSTA 2026 Grade-5 Alignment - Theme Park Engineers camp</t>
  </si>
  <si>
    <t xml:space="preserve">Code</t>
  </si>
  <si>
    <t xml:space="preserve">Status</t>
  </si>
  <si>
    <t xml:space="preserve">Concept</t>
  </si>
  <si>
    <t xml:space="preserve">Subconcept</t>
  </si>
  <si>
    <t xml:space="preserve">Standard (grade 5)</t>
  </si>
  <si>
    <t xml:space="preserve">Days Addressing</t>
  </si>
  <si>
    <t xml:space="preserve">Day Count</t>
  </si>
  <si>
    <t xml:space="preserve">Evidence of Mastery</t>
  </si>
  <si>
    <t xml:space="preserve">E5-ALG-PS-01</t>
  </si>
  <si>
    <t xml:space="preserve">Verified</t>
  </si>
  <si>
    <t xml:space="preserve">Algorithms &amp; Design</t>
  </si>
  <si>
    <t xml:space="preserve">Algorithmic Problem Solving</t>
  </si>
  <si>
    <t xml:space="preserve">Create a visual representation of an algorithm that includes variables and a combination of sequence, events, iteration, and selection to solve a problem or express an idea.</t>
  </si>
  <si>
    <t xml:space="preserve">2, 3, 4, 5</t>
  </si>
  <si>
    <t xml:space="preserve">Approved capstone blueprint showing sequence, a loop, and a branch.</t>
  </si>
  <si>
    <t xml:space="preserve">E5-ALG-IM-03</t>
  </si>
  <si>
    <t xml:space="preserve">Impacts of Algorithms &amp; Design</t>
  </si>
  <si>
    <t xml:space="preserve">Articulate how human-centered design principles are incorporated into the development of a computing technology.</t>
  </si>
  <si>
    <t xml:space="preserve">5</t>
  </si>
  <si>
    <t xml:space="preserve">Grand Opening reflection slip: one design choice in the camper's own ride and who it serves or excludes.</t>
  </si>
  <si>
    <t xml:space="preserve">E5-SYS-SE-13</t>
  </si>
  <si>
    <t xml:space="preserve">Systems &amp; Security</t>
  </si>
  <si>
    <t xml:space="preserve">Security</t>
  </si>
  <si>
    <t xml:space="preserve">Describe the concepts of the CIA triad and how each component is important in protecting information.</t>
  </si>
  <si>
    <t xml:space="preserve">Grand Opening debrief: who can see, change, or reach your program.</t>
  </si>
  <si>
    <t xml:space="preserve">E5-PRO-PD-??</t>
  </si>
  <si>
    <t xml:space="preserve">Needs verification</t>
  </si>
  <si>
    <t xml:space="preserve">Programming</t>
  </si>
  <si>
    <t xml:space="preserve">Program Development</t>
  </si>
  <si>
    <t xml:space="preserve">Grade-5 progression: students refine programs through feedback, compare solutions, and modify existing code to create new programs. [Confirm exact code and wording at source.]</t>
  </si>
  <si>
    <t xml:space="preserve">1, 2, 3, 4, 5</t>
  </si>
  <si>
    <t xml:space="preserve">Working park artifact each day; Day-4 refactor of the Day-2 rosette into draw_wheel(); Day-5 track Version 1 -&gt; Version 2 with the what-changed note.</t>
  </si>
  <si>
    <t xml:space="preserve">E5-PRO-VD-??</t>
  </si>
  <si>
    <t xml:space="preserve">Variables &amp; Data Storage</t>
  </si>
  <si>
    <t xml:space="preserve">Grade-5 progression: students identify and label data in everyday contexts, recognize values that change over time, and identify and trace data in programs. [Confirm exact code and wording at source.]</t>
  </si>
  <si>
    <t xml:space="preserve">1, 3, 4, 5</t>
  </si>
  <si>
    <t xml:space="preserve">Completed ticket-price trace table; correct index identification on the ride roster; Day-5 Ride Log Grid A checked against the live dashboard.</t>
  </si>
  <si>
    <t xml:space="preserve">E5-PRO-RD-??</t>
  </si>
  <si>
    <t xml:space="preserve">Reading &amp; Documenting</t>
  </si>
  <si>
    <t xml:space="preserve">Grade-5 progression: students describe how code completes tasks and explain program steps. [Confirm exact code and wording at source.]</t>
  </si>
  <si>
    <t xml:space="preserve">4, 5</t>
  </si>
  <si>
    <t xml:space="preserve">Predict-the-output warm-ups; Grand Opening narration of the three physics lines.</t>
  </si>
  <si>
    <t xml:space="preserve">E5-PRO-TR-??</t>
  </si>
  <si>
    <t xml:space="preserve">Testing &amp; Refining</t>
  </si>
  <si>
    <t xml:space="preserve">Grade-5 progression: students identify and debug errors in simple programs. [Confirm exact code and wording at source.]</t>
  </si>
  <si>
    <t xml:space="preserve">1, 5</t>
  </si>
  <si>
    <t xml:space="preserve">Independent debugging log during the capstone build.</t>
  </si>
  <si>
    <t xml:space="preserve">Note</t>
  </si>
  <si>
    <t xml:space="preserve">Day Count is computed from the CSTA column on the Scope &amp; Sequence tab. If you re-map a day there, this column updates. A zero means a standard has fallen out of the camp.</t>
  </si>
  <si>
    <t xml:space="preserve">NOT COVERED BY THIS CAMP</t>
  </si>
  <si>
    <t xml:space="preserve">Machine Learning (ALG-ML) - the Smart Turnstile module was removed when the capstone became the coaster build (July 2026); no machine-learning standard is claimed by this camp.</t>
  </si>
  <si>
    <t xml:space="preserve">Data &amp; Analysis (DAT) - grade-5 data collection and investigation standards are not addressed here. They fit naturally in a math or science unit rather than an intro programming camp.</t>
  </si>
  <si>
    <t xml:space="preserve">Systems &amp; Security beyond the security standard above - hardware/software, networks, and impacts are not addressed.</t>
  </si>
  <si>
    <t xml:space="preserve">Computing &amp; Society (SOC) - history of computing, emerging technologies, humans &amp; computing, and career exploration are not addressed. If the camp story invites it, careers is the cheapest to bolt on: a 20-minute 'meet a real ride engineer' video or guest during Friday's briefing.</t>
  </si>
  <si>
    <t xml:space="preserve">Mapped to: Computer Science Teachers Association. (2026). 2026 CSTA PK-12 computer science standards. https://csteachers.org/pk12standards/  Licensed CC BY-NC-SA 4.0. 'Mapped to' is this document's claim; it is not a CSTA-reviewed or CSTA-approved designation.</t>
  </si>
  <si>
    <t xml:space="preserve">Predictable Misconceptions &amp; Diagnostic Moves - camp edition</t>
  </si>
  <si>
    <t xml:space="preserve">Misconception</t>
  </si>
  <si>
    <t xml:space="preserve">What It Looks Like at Loopline Park</t>
  </si>
  <si>
    <t xml:space="preserve">Why It Happens</t>
  </si>
  <si>
    <t xml:space="preserve">Diagnostic Move</t>
  </si>
  <si>
    <t xml:space="preserve">Re-teach</t>
  </si>
  <si>
    <t xml:space="preserve">The computer infers intent</t>
  </si>
  <si>
    <t xml:space="preserve">Camper writes 'Print' or 'pint' and expects the marquee to appear anyway.</t>
  </si>
  <si>
    <t xml:space="preserve">Every other tool they use autocorrects. Nothing has ever demanded exactness.</t>
  </si>
  <si>
    <t xml:space="preserve">Run their broken line on the projector without commentary.</t>
  </si>
  <si>
    <t xml:space="preserve">Traceback reading as a routine: last line first, then line number.</t>
  </si>
  <si>
    <t xml:space="preserve">The = sign means 'equals'</t>
  </si>
  <si>
    <t xml:space="preserve">Camper reads price = 20 as a statement of fact, not an action.</t>
  </si>
  <si>
    <t xml:space="preserve">Six years of math instruction where = is a balance, not an assignment.</t>
  </si>
  <si>
    <t xml:space="preserve">Ask: after price = 20 then price = 15, is the ticket both prices?</t>
  </si>
  <si>
    <t xml:space="preserve">Say 'gets' aloud every time. Labeled-box physical model.</t>
  </si>
  <si>
    <t xml:space="preserve">Input returns a number</t>
  </si>
  <si>
    <t xml:space="preserve">age = input(); age + 1 raises a TypeError at the ticket booth.</t>
  </si>
  <si>
    <t xml:space="preserve">The camper typed digits, so it looks numeric on screen.</t>
  </si>
  <si>
    <t xml:space="preserve">print(type(age)) and read the result together.</t>
  </si>
  <si>
    <t xml:space="preserve">Rule: input() always hands back text. Convert at the door with int().</t>
  </si>
  <si>
    <t xml:space="preserve">The loop body runs once</t>
  </si>
  <si>
    <t xml:space="preserve">Camper expects a square track from a single forward/right pair inside for.</t>
  </si>
  <si>
    <t xml:space="preserve">The code is written once, so it reads as happening once.</t>
  </si>
  <si>
    <t xml:space="preserve">Add a print inside the loop and count the lines of output.</t>
  </si>
  <si>
    <t xml:space="preserve">Physically walk the loop: four campers, four turns of the track.</t>
  </si>
  <si>
    <t xml:space="preserve">Angle equals interior angle</t>
  </si>
  <si>
    <t xml:space="preserve">Camper uses 108 for a pentagon track instead of 72.</t>
  </si>
  <si>
    <t xml:space="preserve">Interior angle is what geometry class taught them to find.</t>
  </si>
  <si>
    <t xml:space="preserve">Walk the polygon and note the turtle turns through the exterior angle.</t>
  </si>
  <si>
    <t xml:space="preserve">Total turning is one full rotation: 360/sides.</t>
  </si>
  <si>
    <t xml:space="preserve">The = and == signs are interchangeable</t>
  </si>
  <si>
    <t xml:space="preserve">if height = 48 raises a SyntaxError at the safety gate, or == appears when assigning.</t>
  </si>
  <si>
    <t xml:space="preserve">The two symbols look nearly identical and were introduced a day apart.</t>
  </si>
  <si>
    <t xml:space="preserve">Read conditions aloud as questions: 'is height the same as 48?'</t>
  </si>
  <si>
    <t xml:space="preserve">Color-code on the reference card. One assigns, one asks.</t>
  </si>
  <si>
    <t xml:space="preserve">Multiple branches run</t>
  </si>
  <si>
    <t xml:space="preserve">Camper expects both the 'tall enough' and 'too short' messages to appear.</t>
  </si>
  <si>
    <t xml:space="preserve">Both lines are visible in the code, so both feel active.</t>
  </si>
  <si>
    <t xml:space="preserve">Have them trace the gate with one specific height.</t>
  </si>
  <si>
    <t xml:space="preserve">elif chain as a fork in the queue: you take one path.</t>
  </si>
  <si>
    <t xml:space="preserve">Lists start at 1</t>
  </si>
  <si>
    <t xml:space="preserve">Off-by-one errors; IndexError on the last ride in the roster.</t>
  </si>
  <si>
    <t xml:space="preserve">Everything else they count starts at one.</t>
  </si>
  <si>
    <t xml:space="preserve">Numbered queue cups: label the first cup 0 and let the discomfort sit.</t>
  </si>
  <si>
    <t xml:space="preserve">Last index is len() minus one. Practice on short rosters first.</t>
  </si>
  <si>
    <t xml:space="preserve">A list is a single value</t>
  </si>
  <si>
    <t xml:space="preserve">Camper prints the whole roster when they wanted one ride.</t>
  </si>
  <si>
    <t xml:space="preserve">One variable name suggests one thing.</t>
  </si>
  <si>
    <t xml:space="preserve">Ask them to point at the ride they want, then name its index.</t>
  </si>
  <si>
    <t xml:space="preserve">The list is the shelf; the index picks the ride.</t>
  </si>
  <si>
    <t xml:space="preserve">3</t>
  </si>
  <si>
    <t xml:space="preserve">Markup tags are lists</t>
  </si>
  <si>
    <t xml:space="preserve">Camper sees [bold yellow] in Monday's marquee code and ["The Comet", "Tea Cups"] on Wednesday and treats them as the same thing.</t>
  </si>
  <si>
    <t xml:space="preserve">Both use square brackets, introduced two days apart.</t>
  </si>
  <si>
    <t xml:space="preserve">The quotes test: is the bracket inside quotation marks? Inside quotes it is just characters in a string; outside quotes it is a list.</t>
  </si>
  <si>
    <t xml:space="preserve">rich markup stays out of Day 3 entirely; color returns Friday with the quotes rule said aloud.</t>
  </si>
  <si>
    <t xml:space="preserve">Defining is calling</t>
  </si>
  <si>
    <t xml:space="preserve">draw_wheel() defined, program runs, nothing draws, camper assumes it broke.</t>
  </si>
  <si>
    <t xml:space="preserve">Writing the code feels like the work is done.</t>
  </si>
  <si>
    <t xml:space="preserve">Run it and sit with the silence. Then add the call.</t>
  </si>
  <si>
    <t xml:space="preserve">Two steps, always: stamp the blueprint, then use the stamp.</t>
  </si>
  <si>
    <t xml:space="preserve">Parameters are magic words</t>
  </si>
  <si>
    <t xml:space="preserve">Camper changes the parameter name inside def and expects the call to follow.</t>
  </si>
  <si>
    <t xml:space="preserve">Naming feels declarative rather than positional.</t>
  </si>
  <si>
    <t xml:space="preserve">Rename the parameter and watch the call still work.</t>
  </si>
  <si>
    <t xml:space="preserve">The name is local. What matters is the order of what you pass.</t>
  </si>
  <si>
    <t xml:space="preserve">A new track list is a capstone</t>
  </si>
  <si>
    <t xml:space="preserve">Camper swaps sixteen numbers into the engine and calls the attraction done.</t>
  </si>
  <si>
    <t xml:space="preserve">The coaster is the visible star; the booth feels like paperwork.</t>
  </si>
  <si>
    <t xml:space="preserve">Ask them to point at the loop and the decision THEY wrote. The engine doesn't count - they didn't write it.</t>
  </si>
  <si>
    <t xml:space="preserve">The booth is the program; the coaster is its finale. Blueprint approval is the gate.</t>
  </si>
  <si>
    <t xml:space="preserve">A taller later hill means a faster ride</t>
  </si>
  <si>
    <t xml:space="preserve">Camper builds a 55 m hill after a 50 m lift and expects extra speed; the train freezes with the STALLED banner.</t>
  </si>
  <si>
    <t xml:space="preserve">All week, taller has meant faster - but that was the LIFT hill: the deposit, not a withdrawal.</t>
  </si>
  <si>
    <t xml:space="preserve">Run the stall live and watch the banner. Where did the speed go?</t>
  </si>
  <si>
    <t xml:space="preserve">No later hill out-talls the lift hill. The chain deposits the ride's whole budget exactly once.</t>
  </si>
  <si>
    <t xml:space="preserve">Assessment - Theme Park Engineers camp</t>
  </si>
  <si>
    <t xml:space="preserve">GRAND OPENING RUBRIC (capstone)</t>
  </si>
  <si>
    <t xml:space="preserve">Criterion</t>
  </si>
  <si>
    <t xml:space="preserve">Beginning (1)</t>
  </si>
  <si>
    <t xml:space="preserve">Developing (2)</t>
  </si>
  <si>
    <t xml:space="preserve">Proficient (3)</t>
  </si>
  <si>
    <t xml:space="preserve">Extending (4)</t>
  </si>
  <si>
    <t xml:space="preserve">Planning</t>
  </si>
  <si>
    <t xml:space="preserve">No blueprint, or blueprint does not match the attraction.</t>
  </si>
  <si>
    <t xml:space="preserve">Blueprint exists but omits the loop or the decision.</t>
  </si>
  <si>
    <t xml:space="preserve">Visual blueprint shows sequence, a loop, and a decision; program follows it.</t>
  </si>
  <si>
    <t xml:space="preserve">Blueprint was revised mid-build and the revision is documented.</t>
  </si>
  <si>
    <t xml:space="preserve">Program works</t>
  </si>
  <si>
    <t xml:space="preserve">Does not run.</t>
  </si>
  <si>
    <t xml:space="preserve">Runs but produces the wrong result.</t>
  </si>
  <si>
    <t xml:space="preserve">Runs and does what the blueprint said it would.</t>
  </si>
  <si>
    <t xml:space="preserve">Handles an unexpected guest input without crashing.</t>
  </si>
  <si>
    <t xml:space="preserve">Construct use</t>
  </si>
  <si>
    <t xml:space="preserve">Uses one prior day's constructs.</t>
  </si>
  <si>
    <t xml:space="preserve">Uses two.</t>
  </si>
  <si>
    <t xml:space="preserve">Uses constructs from at least three prior days.</t>
  </si>
  <si>
    <t xml:space="preserve">Combines them in a way not modeled in camp.</t>
  </si>
  <si>
    <t xml:space="preserve">Debugging</t>
  </si>
  <si>
    <t xml:space="preserve">Needed step-by-step help to fix errors.</t>
  </si>
  <si>
    <t xml:space="preserve">Fixed errors with prompting.</t>
  </si>
  <si>
    <t xml:space="preserve">Read the error message and fixed it independently.</t>
  </si>
  <si>
    <t xml:space="preserve">Anticipated a failure and tested for it before it occurred.</t>
  </si>
  <si>
    <t xml:space="preserve">Explanation</t>
  </si>
  <si>
    <t xml:space="preserve">Cannot describe what the code does.</t>
  </si>
  <si>
    <t xml:space="preserve">Describes what it does, line by line.</t>
  </si>
  <si>
    <t xml:space="preserve">Explains what it does and names one design choice.</t>
  </si>
  <si>
    <t xml:space="preserve">Explains a choice and the alternative that was rejected.</t>
  </si>
  <si>
    <t xml:space="preserve">ASSESSMENT NOTES</t>
  </si>
  <si>
    <t xml:space="preserve">Maintenance Logs (exit tickets) are the primary formative instrument. One question, on paper, under two minutes. Their purpose is to tell you what to reteach in tomorrow's Park Briefing - not to generate a grade. In a one-week camp this loop is the whole assessment system: there is no 'next week' to catch a gap.</t>
  </si>
  <si>
    <t xml:space="preserve">Typing speed, syntax recall, and code volume are deliberately not assessed. At this age they measure prior exposure and keyboard familiarity far more than they measure understanding.</t>
  </si>
  <si>
    <t xml:space="preserve">The debugging criterion is the one most worth protecting. It is the only row on the rubric that cannot be satisfied by a camper who was rescued, which makes it the truest signal in the set.</t>
  </si>
  <si>
    <t xml:space="preserve">If the room consistently scores Developing on Construct use at the Grand Opening, the cause is usually Thursday pacing (lists into functions is where the sequence bends), not the capstone itself. The pressure valve is Tuesday's nested-loop block.</t>
  </si>
  <si>
    <t xml:space="preserve">Camp-specific caution: a Friday capstone after four days of instruction reflects momentum as much as mastery. If this camp feeds a school-year report, record the rubric as evidence of standards addressed during the camp, and let mastery claims rest on the two artifacts named on the Standards Alignment tab.</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</si>
</sst>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4"/>
      <color rgb="FF1B2951"/>
      <name val="Arial"/>
      <family val="0"/>
      <charset val="1"/>
    </font>
    <font>
      <i val="true"/>
      <sz val="10"/>
      <color rgb="FF595959"/>
      <name val="Arial"/>
      <family val="0"/>
      <charset val="1"/>
    </font>
    <font>
      <b val="true"/>
      <sz val="11"/>
      <color rgb="FF1B2951"/>
      <name val="Arial"/>
      <family val="0"/>
      <charset val="1"/>
    </font>
    <font>
      <sz val="10"/>
      <name val="Arial"/>
      <family val="0"/>
      <charset val="1"/>
    </font>
    <font>
      <b val="true"/>
      <sz val="10"/>
      <color rgb="FFFFFFFF"/>
      <name val="Arial"/>
      <family val="0"/>
      <charset val="1"/>
    </font>
    <font>
      <sz val="10"/>
      <color rgb="FF0000FF"/>
      <name val="Arial"/>
      <family val="0"/>
      <charset val="1"/>
    </font>
    <font>
      <b val="true"/>
      <sz val="10"/>
      <name val="Arial"/>
      <family val="0"/>
      <charset val="1"/>
    </font>
    <font>
      <sz val="10"/>
      <color rgb="FFC00000"/>
      <name val="Arial"/>
      <family val="0"/>
      <charset val="1"/>
    </font>
  </fonts>
  <fills count="6">
    <fill>
      <patternFill patternType="none"/>
    </fill>
    <fill>
      <patternFill patternType="gray125"/>
    </fill>
    <fill>
      <patternFill patternType="solid">
        <fgColor rgb="FF1B2951"/>
        <bgColor rgb="FF333333"/>
      </patternFill>
    </fill>
    <fill>
      <patternFill patternType="solid">
        <fgColor rgb="FFFFF2CC"/>
        <bgColor rgb="FFF2F2F2"/>
      </patternFill>
    </fill>
    <fill>
      <patternFill patternType="solid">
        <fgColor rgb="FFE8EBF2"/>
        <bgColor rgb="FFF2F2F2"/>
      </patternFill>
    </fill>
    <fill>
      <patternFill patternType="solid">
        <fgColor rgb="FFF2F2F2"/>
        <bgColor rgb="FFE8EB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center" vertical="top" textRotation="0" wrapText="true" indent="0" shrinkToFit="false"/>
      <protection locked="true" hidden="false"/>
    </xf>
    <xf numFmtId="166" fontId="10" fillId="0" borderId="0" xfId="0" applyFont="true" applyBorder="fals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EB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295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90"/>
  </cols>
  <sheetData>
    <row r="1" customFormat="false" ht="17.25" hidden="false" customHeight="true" outlineLevel="0" collapsed="false">
      <c r="B1" s="2" t="s">
        <v>0</v>
      </c>
    </row>
    <row r="2" customFormat="false" ht="30" hidden="false" customHeight="true" outlineLevel="0" collapsed="false">
      <c r="B2" s="3" t="s">
        <v>1</v>
      </c>
      <c r="C2" s="3"/>
    </row>
    <row r="4" customFormat="false" ht="15" hidden="false" customHeight="true" outlineLevel="0" collapsed="false">
      <c r="B4" s="4" t="s">
        <v>2</v>
      </c>
    </row>
    <row r="5" customFormat="false" ht="72" hidden="false" customHeight="true" outlineLevel="0" collapsed="false">
      <c r="B5" s="5" t="s">
        <v>3</v>
      </c>
      <c r="C5" s="5"/>
    </row>
    <row r="7" customFormat="false" ht="15" hidden="false" customHeight="true" outlineLevel="0" collapsed="false">
      <c r="B7" s="4" t="s">
        <v>4</v>
      </c>
    </row>
    <row r="8" customFormat="false" ht="15" hidden="false" customHeight="true" outlineLevel="0" collapsed="false">
      <c r="B8" s="6" t="s">
        <v>5</v>
      </c>
    </row>
    <row r="9" customFormat="false" ht="15" hidden="false" customHeight="true" outlineLevel="0" collapsed="false">
      <c r="A9" s="7"/>
      <c r="B9" s="7" t="s">
        <v>6</v>
      </c>
      <c r="C9" s="7" t="s">
        <v>7</v>
      </c>
    </row>
    <row r="10" customFormat="false" ht="15" hidden="false" customHeight="true" outlineLevel="0" collapsed="false">
      <c r="B10" s="8" t="s">
        <v>8</v>
      </c>
      <c r="C10" s="9" t="n">
        <v>5</v>
      </c>
    </row>
    <row r="11" customFormat="false" ht="15" hidden="false" customHeight="true" outlineLevel="0" collapsed="false">
      <c r="B11" s="8" t="s">
        <v>9</v>
      </c>
      <c r="C11" s="9" t="n">
        <v>180</v>
      </c>
    </row>
    <row r="12" customFormat="false" ht="15" hidden="false" customHeight="true" outlineLevel="0" collapsed="false">
      <c r="B12" s="8" t="s">
        <v>10</v>
      </c>
      <c r="C12" s="9" t="n">
        <v>30</v>
      </c>
    </row>
    <row r="13" customFormat="false" ht="15" hidden="false" customHeight="true" outlineLevel="0" collapsed="false">
      <c r="B13" s="8" t="s">
        <v>11</v>
      </c>
      <c r="C13" s="9" t="n">
        <v>150</v>
      </c>
    </row>
    <row r="14" customFormat="false" ht="15" hidden="false" customHeight="true" outlineLevel="0" collapsed="false">
      <c r="B14" s="8" t="s">
        <v>12</v>
      </c>
      <c r="C14" s="9" t="n">
        <v>16</v>
      </c>
    </row>
    <row r="16" customFormat="false" ht="15" hidden="false" customHeight="true" outlineLevel="0" collapsed="false">
      <c r="B16" s="4" t="s">
        <v>13</v>
      </c>
    </row>
    <row r="17" customFormat="false" ht="27.75" hidden="false" customHeight="true" outlineLevel="0" collapsed="false">
      <c r="C17" s="10" t="s">
        <v>14</v>
      </c>
    </row>
    <row r="18" customFormat="false" ht="55.5" hidden="false" customHeight="true" outlineLevel="0" collapsed="false">
      <c r="C18" s="10" t="s">
        <v>15</v>
      </c>
    </row>
    <row r="19" customFormat="false" ht="55.5" hidden="false" customHeight="true" outlineLevel="0" collapsed="false">
      <c r="C19" s="10" t="s">
        <v>16</v>
      </c>
    </row>
    <row r="21" customFormat="false" ht="15" hidden="false" customHeight="true" outlineLevel="0" collapsed="false">
      <c r="B21" s="4" t="s">
        <v>17</v>
      </c>
    </row>
    <row r="22" customFormat="false" ht="27.75" hidden="false" customHeight="true" outlineLevel="0" collapsed="false">
      <c r="C22" s="10" t="s">
        <v>18</v>
      </c>
    </row>
    <row r="23" customFormat="false" ht="27.75" hidden="false" customHeight="true" outlineLevel="0" collapsed="false">
      <c r="C23" s="10" t="s">
        <v>19</v>
      </c>
    </row>
    <row r="24" customFormat="false" ht="27.75" hidden="false" customHeight="true" outlineLevel="0" collapsed="false">
      <c r="C24" s="10" t="s">
        <v>20</v>
      </c>
    </row>
    <row r="25" customFormat="false" ht="27.75" hidden="false" customHeight="true" outlineLevel="0" collapsed="false">
      <c r="C25" s="10" t="s">
        <v>21</v>
      </c>
    </row>
    <row r="26" customFormat="false" ht="27.75" hidden="false" customHeight="true" outlineLevel="0" collapsed="false">
      <c r="C26" s="10" t="s">
        <v>22</v>
      </c>
    </row>
    <row r="28" customFormat="false" ht="15" hidden="false" customHeight="true" outlineLevel="0" collapsed="false">
      <c r="B28" s="4" t="s">
        <v>23</v>
      </c>
    </row>
    <row r="29" customFormat="false" ht="27.75" hidden="false" customHeight="true" outlineLevel="0" collapsed="false">
      <c r="C29" s="10" t="s">
        <v>24</v>
      </c>
    </row>
    <row r="30" customFormat="false" ht="27.75" hidden="false" customHeight="true" outlineLevel="0" collapsed="false">
      <c r="C30" s="10" t="s">
        <v>25</v>
      </c>
    </row>
    <row r="31" customFormat="false" ht="27.75" hidden="false" customHeight="true" outlineLevel="0" collapsed="false">
      <c r="C31" s="10" t="s">
        <v>26</v>
      </c>
    </row>
    <row r="32" customFormat="false" ht="27.75" hidden="false" customHeight="true" outlineLevel="0" collapsed="false">
      <c r="C32" s="10" t="s">
        <v>27</v>
      </c>
    </row>
    <row r="33" customFormat="false" ht="57" hidden="false" customHeight="true" outlineLevel="0" collapsed="false">
      <c r="C33" s="10" t="s">
        <v>28</v>
      </c>
    </row>
    <row r="34" customFormat="false" ht="15" hidden="false" customHeight="true" outlineLevel="0" collapsed="false"/>
    <row r="35" customFormat="false" ht="69.75" hidden="false" customHeight="true" outlineLevel="0" collapsed="false">
      <c r="B35" s="4" t="s">
        <v>29</v>
      </c>
    </row>
    <row r="36" customFormat="false" ht="55.5" hidden="false" customHeight="true" outlineLevel="0" collapsed="false">
      <c r="C36" s="10" t="s">
        <v>30</v>
      </c>
    </row>
    <row r="37" customFormat="false" ht="45.75" hidden="false" customHeight="true" outlineLevel="0" collapsed="false">
      <c r="C37" s="10" t="s">
        <v>31</v>
      </c>
    </row>
    <row r="38" customFormat="false" ht="15" hidden="false" customHeight="true" outlineLevel="0" collapsed="false"/>
    <row r="39" customFormat="false" ht="27.75" hidden="false" customHeight="true" outlineLevel="0" collapsed="false">
      <c r="B39" s="4" t="s">
        <v>32</v>
      </c>
    </row>
    <row r="40" customFormat="false" ht="27.75" hidden="false" customHeight="true" outlineLevel="0" collapsed="false">
      <c r="C40" s="10" t="s">
        <v>33</v>
      </c>
    </row>
    <row r="41" customFormat="false" ht="55.5" hidden="false" customHeight="true" outlineLevel="0" collapsed="false">
      <c r="C41" s="10" t="s">
        <v>34</v>
      </c>
    </row>
    <row r="42" customFormat="false" ht="27.75" hidden="false" customHeight="true" outlineLevel="0" collapsed="false">
      <c r="C42" s="10" t="s">
        <v>35</v>
      </c>
    </row>
    <row r="43" customFormat="false" ht="42" hidden="false" customHeight="true" outlineLevel="0" collapsed="false">
      <c r="C43" s="10" t="s">
        <v>36</v>
      </c>
    </row>
    <row r="44" customFormat="false" ht="34.5" hidden="false" customHeight="true" outlineLevel="0" collapsed="false">
      <c r="C44" s="10" t="s">
        <v>37</v>
      </c>
    </row>
  </sheetData>
  <mergeCells count="2">
    <mergeCell ref="B2:C2"/>
    <mergeCell ref="B5:C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12"/>
    <col collapsed="false" customWidth="true" hidden="false" outlineLevel="0" max="5" min="5" style="1" width="34"/>
    <col collapsed="false" customWidth="true" hidden="false" outlineLevel="0" max="6" min="6" style="1" width="52"/>
    <col collapsed="false" customWidth="true" hidden="false" outlineLevel="0" max="7" min="7" style="1" width="26"/>
    <col collapsed="false" customWidth="true" hidden="false" outlineLevel="0" max="8" min="8" style="1" width="34"/>
    <col collapsed="false" customWidth="true" hidden="false" outlineLevel="0" max="9" min="9" style="1" width="22"/>
    <col collapsed="false" customWidth="true" hidden="false" outlineLevel="0" max="10" min="10" style="1" width="34"/>
    <col collapsed="false" customWidth="true" hidden="false" outlineLevel="0" max="11" min="11" style="1" width="38"/>
  </cols>
  <sheetData>
    <row r="1" customFormat="false" ht="17.25" hidden="false" customHeight="true" outlineLevel="0" collapsed="false">
      <c r="A1" s="2" t="s">
        <v>38</v>
      </c>
    </row>
    <row r="2" customFormat="false" ht="23.25" hidden="false" customHeight="true" outlineLevel="0" collapsed="false">
      <c r="A2" s="7" t="s">
        <v>39</v>
      </c>
      <c r="B2" s="7" t="s">
        <v>40</v>
      </c>
      <c r="C2" s="7" t="s">
        <v>41</v>
      </c>
      <c r="D2" s="7" t="s">
        <v>42</v>
      </c>
      <c r="E2" s="7" t="s">
        <v>43</v>
      </c>
      <c r="F2" s="7" t="s">
        <v>44</v>
      </c>
      <c r="G2" s="7" t="s">
        <v>45</v>
      </c>
      <c r="H2" s="7" t="s">
        <v>46</v>
      </c>
      <c r="I2" s="7" t="s">
        <v>47</v>
      </c>
      <c r="J2" s="7" t="s">
        <v>48</v>
      </c>
      <c r="K2" s="7" t="s">
        <v>49</v>
      </c>
    </row>
    <row r="3" customFormat="false" ht="117.75" hidden="false" customHeight="true" outlineLevel="0" collapsed="false">
      <c r="A3" s="11" t="n">
        <v>1</v>
      </c>
      <c r="B3" s="12" t="s">
        <v>50</v>
      </c>
      <c r="C3" s="12" t="s">
        <v>51</v>
      </c>
      <c r="D3" s="11" t="n">
        <v>150</v>
      </c>
      <c r="E3" s="12" t="s">
        <v>52</v>
      </c>
      <c r="F3" s="12" t="s">
        <v>53</v>
      </c>
      <c r="G3" s="12" t="s">
        <v>54</v>
      </c>
      <c r="H3" s="12" t="s">
        <v>55</v>
      </c>
      <c r="I3" s="12" t="s">
        <v>56</v>
      </c>
      <c r="J3" s="12" t="s">
        <v>57</v>
      </c>
      <c r="K3" s="12" t="s">
        <v>58</v>
      </c>
    </row>
    <row r="4" customFormat="false" ht="117.75" hidden="false" customHeight="true" outlineLevel="0" collapsed="false">
      <c r="A4" s="11" t="n">
        <v>2</v>
      </c>
      <c r="B4" s="12" t="s">
        <v>59</v>
      </c>
      <c r="C4" s="12" t="s">
        <v>60</v>
      </c>
      <c r="D4" s="11" t="n">
        <v>150</v>
      </c>
      <c r="E4" s="12" t="s">
        <v>61</v>
      </c>
      <c r="F4" s="12" t="s">
        <v>62</v>
      </c>
      <c r="G4" s="12" t="s">
        <v>63</v>
      </c>
      <c r="H4" s="12" t="s">
        <v>64</v>
      </c>
      <c r="I4" s="12" t="s">
        <v>65</v>
      </c>
      <c r="J4" s="12" t="s">
        <v>66</v>
      </c>
      <c r="K4" s="12" t="s">
        <v>67</v>
      </c>
    </row>
    <row r="5" customFormat="false" ht="117.75" hidden="false" customHeight="true" outlineLevel="0" collapsed="false">
      <c r="A5" s="11" t="n">
        <v>3</v>
      </c>
      <c r="B5" s="12" t="s">
        <v>68</v>
      </c>
      <c r="C5" s="12" t="s">
        <v>69</v>
      </c>
      <c r="D5" s="11" t="n">
        <v>150</v>
      </c>
      <c r="E5" s="12" t="s">
        <v>70</v>
      </c>
      <c r="F5" s="12" t="s">
        <v>71</v>
      </c>
      <c r="G5" s="12" t="s">
        <v>72</v>
      </c>
      <c r="H5" s="12" t="s">
        <v>73</v>
      </c>
      <c r="I5" s="12" t="s">
        <v>74</v>
      </c>
      <c r="J5" s="12" t="s">
        <v>75</v>
      </c>
      <c r="K5" s="12" t="s">
        <v>76</v>
      </c>
    </row>
    <row r="6" customFormat="false" ht="117.75" hidden="false" customHeight="true" outlineLevel="0" collapsed="false">
      <c r="A6" s="11" t="n">
        <v>4</v>
      </c>
      <c r="B6" s="12" t="s">
        <v>77</v>
      </c>
      <c r="C6" s="12" t="s">
        <v>78</v>
      </c>
      <c r="D6" s="11" t="n">
        <v>150</v>
      </c>
      <c r="E6" s="12" t="s">
        <v>79</v>
      </c>
      <c r="F6" s="12" t="s">
        <v>80</v>
      </c>
      <c r="G6" s="12" t="s">
        <v>81</v>
      </c>
      <c r="H6" s="12" t="s">
        <v>82</v>
      </c>
      <c r="I6" s="12" t="s">
        <v>83</v>
      </c>
      <c r="J6" s="12" t="s">
        <v>84</v>
      </c>
      <c r="K6" s="12" t="s">
        <v>85</v>
      </c>
    </row>
    <row r="7" customFormat="false" ht="117.75" hidden="false" customHeight="true" outlineLevel="0" collapsed="false">
      <c r="A7" s="11" t="n">
        <v>5</v>
      </c>
      <c r="B7" s="12" t="s">
        <v>86</v>
      </c>
      <c r="C7" s="12" t="s">
        <v>87</v>
      </c>
      <c r="D7" s="11" t="n">
        <v>150</v>
      </c>
      <c r="E7" s="12" t="s">
        <v>88</v>
      </c>
      <c r="F7" s="12" t="s">
        <v>89</v>
      </c>
      <c r="G7" s="12" t="s">
        <v>90</v>
      </c>
      <c r="H7" s="12" t="s">
        <v>91</v>
      </c>
      <c r="I7" s="12" t="s">
        <v>92</v>
      </c>
      <c r="J7" s="12" t="s">
        <v>93</v>
      </c>
      <c r="K7" s="12" t="s">
        <v>94</v>
      </c>
    </row>
    <row r="8" customFormat="false" ht="15" hidden="false" customHeight="true" outlineLevel="0" collapsed="false">
      <c r="B8" s="13" t="s">
        <v>95</v>
      </c>
      <c r="D8" s="14" t="n">
        <f aca="false">SUM(D3:D7)</f>
        <v>750</v>
      </c>
    </row>
    <row r="9" customFormat="false" ht="39.75" hidden="false" customHeight="true" outlineLevel="0" collapsed="false">
      <c r="B9" s="13" t="s">
        <v>96</v>
      </c>
      <c r="D9" s="15" t="n">
        <f aca="false">D8/60</f>
        <v>12.5</v>
      </c>
      <c r="E9" s="3" t="s">
        <v>97</v>
      </c>
      <c r="F9" s="3"/>
      <c r="G9" s="3"/>
      <c r="H9" s="3"/>
    </row>
  </sheetData>
  <mergeCells count="1">
    <mergeCell ref="E9:H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3"/>
    <col collapsed="false" customWidth="true" hidden="false" outlineLevel="0" max="3" min="3" style="1" width="20"/>
    <col collapsed="false" customWidth="true" hidden="false" outlineLevel="0" max="4" min="4" style="1" width="24"/>
    <col collapsed="false" customWidth="true" hidden="false" outlineLevel="0" max="5" min="5" style="1" width="78"/>
    <col collapsed="false" customWidth="true" hidden="false" outlineLevel="0" max="6" min="6" style="1" width="42"/>
    <col collapsed="false" customWidth="true" hidden="false" outlineLevel="0" max="7" min="7" style="1" width="30"/>
  </cols>
  <sheetData>
    <row r="1" customFormat="false" ht="17.25" hidden="false" customHeight="true" outlineLevel="0" collapsed="false">
      <c r="A1" s="2" t="s">
        <v>98</v>
      </c>
    </row>
    <row r="2" customFormat="false" ht="15" hidden="false" customHeight="true" outlineLevel="0" collapsed="false">
      <c r="A2" s="7" t="s">
        <v>39</v>
      </c>
      <c r="B2" s="7" t="s">
        <v>99</v>
      </c>
      <c r="C2" s="7" t="s">
        <v>100</v>
      </c>
      <c r="D2" s="7" t="s">
        <v>101</v>
      </c>
      <c r="E2" s="7" t="s">
        <v>102</v>
      </c>
      <c r="F2" s="7" t="s">
        <v>103</v>
      </c>
      <c r="G2" s="7" t="s">
        <v>104</v>
      </c>
    </row>
    <row r="3" customFormat="false" ht="61.5" hidden="false" customHeight="true" outlineLevel="0" collapsed="false">
      <c r="A3" s="16" t="n">
        <v>1</v>
      </c>
      <c r="B3" s="17" t="s">
        <v>105</v>
      </c>
      <c r="C3" s="17" t="s">
        <v>106</v>
      </c>
      <c r="D3" s="17" t="s">
        <v>107</v>
      </c>
      <c r="E3" s="17" t="s">
        <v>108</v>
      </c>
      <c r="F3" s="17" t="s">
        <v>109</v>
      </c>
      <c r="G3" s="17" t="s">
        <v>110</v>
      </c>
    </row>
    <row r="4" customFormat="false" ht="61.5" hidden="false" customHeight="true" outlineLevel="0" collapsed="false">
      <c r="A4" s="11" t="n">
        <v>1</v>
      </c>
      <c r="B4" s="12" t="s">
        <v>111</v>
      </c>
      <c r="C4" s="12" t="s">
        <v>112</v>
      </c>
      <c r="D4" s="12" t="s">
        <v>113</v>
      </c>
      <c r="E4" s="12" t="s">
        <v>114</v>
      </c>
      <c r="F4" s="12" t="s">
        <v>115</v>
      </c>
      <c r="G4" s="12" t="s">
        <v>116</v>
      </c>
    </row>
    <row r="5" customFormat="false" ht="15.75" hidden="false" customHeight="true" outlineLevel="0" collapsed="false">
      <c r="A5" s="18" t="n">
        <v>1</v>
      </c>
      <c r="B5" s="19" t="s">
        <v>117</v>
      </c>
      <c r="C5" s="19" t="s">
        <v>118</v>
      </c>
      <c r="D5" s="19" t="s">
        <v>119</v>
      </c>
      <c r="E5" s="19" t="s">
        <v>120</v>
      </c>
      <c r="F5" s="19" t="s">
        <v>119</v>
      </c>
      <c r="G5" s="19" t="s">
        <v>119</v>
      </c>
    </row>
    <row r="6" customFormat="false" ht="61.5" hidden="false" customHeight="true" outlineLevel="0" collapsed="false">
      <c r="A6" s="11" t="n">
        <v>1</v>
      </c>
      <c r="B6" s="12" t="s">
        <v>121</v>
      </c>
      <c r="C6" s="12" t="s">
        <v>122</v>
      </c>
      <c r="D6" s="12" t="s">
        <v>123</v>
      </c>
      <c r="E6" s="12" t="s">
        <v>124</v>
      </c>
      <c r="F6" s="12" t="s">
        <v>125</v>
      </c>
      <c r="G6" s="12" t="s">
        <v>126</v>
      </c>
    </row>
    <row r="7" customFormat="false" ht="61.5" hidden="false" customHeight="true" outlineLevel="0" collapsed="false">
      <c r="A7" s="11" t="n">
        <v>1</v>
      </c>
      <c r="B7" s="12" t="s">
        <v>127</v>
      </c>
      <c r="C7" s="12" t="s">
        <v>128</v>
      </c>
      <c r="D7" s="12" t="s">
        <v>129</v>
      </c>
      <c r="E7" s="12" t="s">
        <v>130</v>
      </c>
      <c r="F7" s="12" t="s">
        <v>131</v>
      </c>
      <c r="G7" s="12" t="s">
        <v>132</v>
      </c>
    </row>
    <row r="8" customFormat="false" ht="61.5" hidden="false" customHeight="true" outlineLevel="0" collapsed="false">
      <c r="A8" s="11" t="n">
        <v>1</v>
      </c>
      <c r="B8" s="12" t="s">
        <v>133</v>
      </c>
      <c r="C8" s="12" t="s">
        <v>134</v>
      </c>
      <c r="D8" s="12" t="s">
        <v>135</v>
      </c>
      <c r="E8" s="12" t="s">
        <v>136</v>
      </c>
      <c r="F8" s="12" t="s">
        <v>137</v>
      </c>
      <c r="G8" s="12" t="s">
        <v>138</v>
      </c>
    </row>
    <row r="9" customFormat="false" ht="61.5" hidden="false" customHeight="true" outlineLevel="0" collapsed="false">
      <c r="A9" s="16" t="n">
        <v>2</v>
      </c>
      <c r="B9" s="17" t="s">
        <v>105</v>
      </c>
      <c r="C9" s="17" t="s">
        <v>106</v>
      </c>
      <c r="D9" s="17" t="s">
        <v>139</v>
      </c>
      <c r="E9" s="17" t="s">
        <v>140</v>
      </c>
      <c r="F9" s="17" t="s">
        <v>141</v>
      </c>
      <c r="G9" s="17" t="s">
        <v>142</v>
      </c>
    </row>
    <row r="10" customFormat="false" ht="61.5" hidden="false" customHeight="true" outlineLevel="0" collapsed="false">
      <c r="A10" s="11" t="n">
        <v>2</v>
      </c>
      <c r="B10" s="12" t="s">
        <v>111</v>
      </c>
      <c r="C10" s="12" t="s">
        <v>112</v>
      </c>
      <c r="D10" s="12" t="s">
        <v>143</v>
      </c>
      <c r="E10" s="12" t="s">
        <v>144</v>
      </c>
      <c r="F10" s="12" t="s">
        <v>145</v>
      </c>
      <c r="G10" s="12" t="s">
        <v>146</v>
      </c>
    </row>
    <row r="11" customFormat="false" ht="15.75" hidden="false" customHeight="true" outlineLevel="0" collapsed="false">
      <c r="A11" s="18" t="n">
        <v>2</v>
      </c>
      <c r="B11" s="19" t="s">
        <v>117</v>
      </c>
      <c r="C11" s="19" t="s">
        <v>118</v>
      </c>
      <c r="D11" s="19" t="s">
        <v>119</v>
      </c>
      <c r="E11" s="19" t="s">
        <v>147</v>
      </c>
      <c r="F11" s="19" t="s">
        <v>119</v>
      </c>
      <c r="G11" s="19" t="s">
        <v>119</v>
      </c>
    </row>
    <row r="12" customFormat="false" ht="61.5" hidden="false" customHeight="true" outlineLevel="0" collapsed="false">
      <c r="A12" s="11" t="n">
        <v>2</v>
      </c>
      <c r="B12" s="12" t="s">
        <v>121</v>
      </c>
      <c r="C12" s="12" t="s">
        <v>122</v>
      </c>
      <c r="D12" s="12" t="s">
        <v>148</v>
      </c>
      <c r="E12" s="12" t="s">
        <v>149</v>
      </c>
      <c r="F12" s="12" t="s">
        <v>150</v>
      </c>
      <c r="G12" s="12" t="s">
        <v>151</v>
      </c>
    </row>
    <row r="13" customFormat="false" ht="61.5" hidden="false" customHeight="true" outlineLevel="0" collapsed="false">
      <c r="A13" s="11" t="n">
        <v>2</v>
      </c>
      <c r="B13" s="12" t="s">
        <v>127</v>
      </c>
      <c r="C13" s="12" t="s">
        <v>128</v>
      </c>
      <c r="D13" s="12" t="s">
        <v>152</v>
      </c>
      <c r="E13" s="12" t="s">
        <v>153</v>
      </c>
      <c r="F13" s="12" t="s">
        <v>154</v>
      </c>
      <c r="G13" s="12" t="s">
        <v>155</v>
      </c>
    </row>
    <row r="14" customFormat="false" ht="61.5" hidden="false" customHeight="true" outlineLevel="0" collapsed="false">
      <c r="A14" s="11" t="n">
        <v>2</v>
      </c>
      <c r="B14" s="12" t="s">
        <v>133</v>
      </c>
      <c r="C14" s="12" t="s">
        <v>134</v>
      </c>
      <c r="D14" s="12" t="s">
        <v>135</v>
      </c>
      <c r="E14" s="12" t="s">
        <v>156</v>
      </c>
      <c r="F14" s="12" t="s">
        <v>157</v>
      </c>
      <c r="G14" s="12" t="s">
        <v>138</v>
      </c>
    </row>
    <row r="15" customFormat="false" ht="61.5" hidden="false" customHeight="true" outlineLevel="0" collapsed="false">
      <c r="A15" s="16" t="n">
        <v>3</v>
      </c>
      <c r="B15" s="17" t="s">
        <v>105</v>
      </c>
      <c r="C15" s="17" t="s">
        <v>106</v>
      </c>
      <c r="D15" s="17" t="s">
        <v>158</v>
      </c>
      <c r="E15" s="17" t="s">
        <v>159</v>
      </c>
      <c r="F15" s="17" t="s">
        <v>160</v>
      </c>
      <c r="G15" s="17" t="s">
        <v>161</v>
      </c>
    </row>
    <row r="16" customFormat="false" ht="61.5" hidden="false" customHeight="true" outlineLevel="0" collapsed="false">
      <c r="A16" s="11" t="n">
        <v>3</v>
      </c>
      <c r="B16" s="12" t="s">
        <v>111</v>
      </c>
      <c r="C16" s="12" t="s">
        <v>112</v>
      </c>
      <c r="D16" s="12" t="s">
        <v>162</v>
      </c>
      <c r="E16" s="12" t="s">
        <v>163</v>
      </c>
      <c r="F16" s="12" t="s">
        <v>164</v>
      </c>
      <c r="G16" s="12" t="s">
        <v>165</v>
      </c>
    </row>
    <row r="17" customFormat="false" ht="15.75" hidden="false" customHeight="true" outlineLevel="0" collapsed="false">
      <c r="A17" s="18" t="n">
        <v>3</v>
      </c>
      <c r="B17" s="19" t="s">
        <v>117</v>
      </c>
      <c r="C17" s="19" t="s">
        <v>118</v>
      </c>
      <c r="D17" s="19" t="s">
        <v>119</v>
      </c>
      <c r="E17" s="19" t="s">
        <v>147</v>
      </c>
      <c r="F17" s="19" t="s">
        <v>119</v>
      </c>
      <c r="G17" s="19" t="s">
        <v>119</v>
      </c>
    </row>
    <row r="18" customFormat="false" ht="61.5" hidden="false" customHeight="true" outlineLevel="0" collapsed="false">
      <c r="A18" s="11" t="n">
        <v>3</v>
      </c>
      <c r="B18" s="12" t="s">
        <v>121</v>
      </c>
      <c r="C18" s="12" t="s">
        <v>122</v>
      </c>
      <c r="D18" s="12" t="s">
        <v>166</v>
      </c>
      <c r="E18" s="12" t="s">
        <v>167</v>
      </c>
      <c r="F18" s="12" t="s">
        <v>168</v>
      </c>
      <c r="G18" s="12" t="s">
        <v>169</v>
      </c>
    </row>
    <row r="19" customFormat="false" ht="61.5" hidden="false" customHeight="true" outlineLevel="0" collapsed="false">
      <c r="A19" s="11" t="n">
        <v>3</v>
      </c>
      <c r="B19" s="12" t="s">
        <v>127</v>
      </c>
      <c r="C19" s="12" t="s">
        <v>128</v>
      </c>
      <c r="D19" s="12" t="s">
        <v>170</v>
      </c>
      <c r="E19" s="12" t="s">
        <v>171</v>
      </c>
      <c r="F19" s="12" t="s">
        <v>172</v>
      </c>
      <c r="G19" s="12" t="s">
        <v>173</v>
      </c>
    </row>
    <row r="20" customFormat="false" ht="61.5" hidden="false" customHeight="true" outlineLevel="0" collapsed="false">
      <c r="A20" s="11" t="n">
        <v>3</v>
      </c>
      <c r="B20" s="12" t="s">
        <v>133</v>
      </c>
      <c r="C20" s="12" t="s">
        <v>134</v>
      </c>
      <c r="D20" s="12" t="s">
        <v>135</v>
      </c>
      <c r="E20" s="12" t="s">
        <v>174</v>
      </c>
      <c r="F20" s="12" t="s">
        <v>175</v>
      </c>
      <c r="G20" s="12" t="s">
        <v>138</v>
      </c>
    </row>
    <row r="21" customFormat="false" ht="61.5" hidden="false" customHeight="true" outlineLevel="0" collapsed="false">
      <c r="A21" s="16" t="n">
        <v>4</v>
      </c>
      <c r="B21" s="17" t="s">
        <v>105</v>
      </c>
      <c r="C21" s="17" t="s">
        <v>106</v>
      </c>
      <c r="D21" s="17" t="s">
        <v>176</v>
      </c>
      <c r="E21" s="17" t="s">
        <v>177</v>
      </c>
      <c r="F21" s="17" t="s">
        <v>178</v>
      </c>
      <c r="G21" s="17" t="s">
        <v>179</v>
      </c>
    </row>
    <row r="22" customFormat="false" ht="61.5" hidden="false" customHeight="true" outlineLevel="0" collapsed="false">
      <c r="A22" s="11" t="n">
        <v>4</v>
      </c>
      <c r="B22" s="12" t="s">
        <v>111</v>
      </c>
      <c r="C22" s="12" t="s">
        <v>112</v>
      </c>
      <c r="D22" s="12" t="s">
        <v>180</v>
      </c>
      <c r="E22" s="12" t="s">
        <v>181</v>
      </c>
      <c r="F22" s="12" t="s">
        <v>182</v>
      </c>
      <c r="G22" s="12" t="s">
        <v>183</v>
      </c>
    </row>
    <row r="23" customFormat="false" ht="15.75" hidden="false" customHeight="true" outlineLevel="0" collapsed="false">
      <c r="A23" s="18" t="n">
        <v>4</v>
      </c>
      <c r="B23" s="19" t="s">
        <v>117</v>
      </c>
      <c r="C23" s="19" t="s">
        <v>118</v>
      </c>
      <c r="D23" s="19" t="s">
        <v>119</v>
      </c>
      <c r="E23" s="19" t="s">
        <v>147</v>
      </c>
      <c r="F23" s="19" t="s">
        <v>119</v>
      </c>
      <c r="G23" s="19" t="s">
        <v>119</v>
      </c>
    </row>
    <row r="24" customFormat="false" ht="61.5" hidden="false" customHeight="true" outlineLevel="0" collapsed="false">
      <c r="A24" s="11" t="n">
        <v>4</v>
      </c>
      <c r="B24" s="12" t="s">
        <v>121</v>
      </c>
      <c r="C24" s="12" t="s">
        <v>122</v>
      </c>
      <c r="D24" s="12" t="s">
        <v>184</v>
      </c>
      <c r="E24" s="12" t="s">
        <v>185</v>
      </c>
      <c r="F24" s="12" t="s">
        <v>186</v>
      </c>
      <c r="G24" s="12" t="s">
        <v>187</v>
      </c>
    </row>
    <row r="25" customFormat="false" ht="61.5" hidden="false" customHeight="true" outlineLevel="0" collapsed="false">
      <c r="A25" s="11" t="n">
        <v>4</v>
      </c>
      <c r="B25" s="12" t="s">
        <v>127</v>
      </c>
      <c r="C25" s="12" t="s">
        <v>128</v>
      </c>
      <c r="D25" s="12" t="s">
        <v>188</v>
      </c>
      <c r="E25" s="12" t="s">
        <v>189</v>
      </c>
      <c r="F25" s="12" t="s">
        <v>190</v>
      </c>
      <c r="G25" s="12" t="s">
        <v>191</v>
      </c>
    </row>
    <row r="26" customFormat="false" ht="61.5" hidden="false" customHeight="true" outlineLevel="0" collapsed="false">
      <c r="A26" s="11" t="n">
        <v>4</v>
      </c>
      <c r="B26" s="12" t="s">
        <v>133</v>
      </c>
      <c r="C26" s="12" t="s">
        <v>134</v>
      </c>
      <c r="D26" s="12" t="s">
        <v>135</v>
      </c>
      <c r="E26" s="12" t="s">
        <v>192</v>
      </c>
      <c r="F26" s="12" t="s">
        <v>193</v>
      </c>
      <c r="G26" s="12" t="s">
        <v>138</v>
      </c>
    </row>
    <row r="27" customFormat="false" ht="61.5" hidden="false" customHeight="true" outlineLevel="0" collapsed="false">
      <c r="A27" s="16" t="n">
        <v>5</v>
      </c>
      <c r="B27" s="17" t="s">
        <v>105</v>
      </c>
      <c r="C27" s="17" t="s">
        <v>106</v>
      </c>
      <c r="D27" s="17" t="s">
        <v>194</v>
      </c>
      <c r="E27" s="17" t="s">
        <v>195</v>
      </c>
      <c r="F27" s="17" t="s">
        <v>196</v>
      </c>
      <c r="G27" s="17" t="s">
        <v>197</v>
      </c>
    </row>
    <row r="28" customFormat="false" ht="61.5" hidden="false" customHeight="true" outlineLevel="0" collapsed="false">
      <c r="A28" s="11" t="n">
        <v>5</v>
      </c>
      <c r="B28" s="12" t="s">
        <v>111</v>
      </c>
      <c r="C28" s="12" t="s">
        <v>112</v>
      </c>
      <c r="D28" s="12" t="s">
        <v>198</v>
      </c>
      <c r="E28" s="12" t="s">
        <v>199</v>
      </c>
      <c r="F28" s="12" t="s">
        <v>200</v>
      </c>
      <c r="G28" s="12" t="s">
        <v>201</v>
      </c>
    </row>
    <row r="29" customFormat="false" ht="15.75" hidden="false" customHeight="true" outlineLevel="0" collapsed="false">
      <c r="A29" s="18" t="n">
        <v>5</v>
      </c>
      <c r="B29" s="19" t="s">
        <v>202</v>
      </c>
      <c r="C29" s="19" t="s">
        <v>118</v>
      </c>
      <c r="D29" s="19" t="s">
        <v>119</v>
      </c>
      <c r="E29" s="19" t="s">
        <v>203</v>
      </c>
      <c r="F29" s="19" t="s">
        <v>119</v>
      </c>
      <c r="G29" s="19" t="s">
        <v>119</v>
      </c>
    </row>
    <row r="30" customFormat="false" ht="61.5" hidden="false" customHeight="true" outlineLevel="0" collapsed="false">
      <c r="A30" s="11" t="n">
        <v>5</v>
      </c>
      <c r="B30" s="12" t="s">
        <v>204</v>
      </c>
      <c r="C30" s="12" t="s">
        <v>205</v>
      </c>
      <c r="D30" s="12" t="s">
        <v>206</v>
      </c>
      <c r="E30" s="12" t="s">
        <v>207</v>
      </c>
      <c r="F30" s="12" t="s">
        <v>208</v>
      </c>
      <c r="G30" s="12" t="s">
        <v>209</v>
      </c>
    </row>
    <row r="31" customFormat="false" ht="61.5" hidden="false" customHeight="true" outlineLevel="0" collapsed="false">
      <c r="A31" s="11" t="n">
        <v>5</v>
      </c>
      <c r="B31" s="12" t="s">
        <v>210</v>
      </c>
      <c r="C31" s="12" t="s">
        <v>211</v>
      </c>
      <c r="D31" s="12" t="s">
        <v>212</v>
      </c>
      <c r="E31" s="12" t="s">
        <v>213</v>
      </c>
      <c r="F31" s="12" t="s">
        <v>214</v>
      </c>
      <c r="G31" s="12" t="s">
        <v>215</v>
      </c>
    </row>
    <row r="32" customFormat="false" ht="61.5" hidden="false" customHeight="true" outlineLevel="0" collapsed="false">
      <c r="A32" s="11" t="n">
        <v>5</v>
      </c>
      <c r="B32" s="12" t="s">
        <v>216</v>
      </c>
      <c r="C32" s="12" t="s">
        <v>128</v>
      </c>
      <c r="D32" s="12" t="s">
        <v>217</v>
      </c>
      <c r="E32" s="12" t="s">
        <v>218</v>
      </c>
      <c r="F32" s="12" t="s">
        <v>219</v>
      </c>
      <c r="G32" s="12" t="s">
        <v>220</v>
      </c>
    </row>
    <row r="33" customFormat="false" ht="61.5" hidden="false" customHeight="true" outlineLevel="0" collapsed="false">
      <c r="A33" s="11" t="n">
        <v>5</v>
      </c>
      <c r="B33" s="12" t="s">
        <v>221</v>
      </c>
      <c r="C33" s="12" t="s">
        <v>134</v>
      </c>
      <c r="D33" s="12" t="s">
        <v>135</v>
      </c>
      <c r="E33" s="12" t="s">
        <v>222</v>
      </c>
      <c r="F33" s="12" t="s">
        <v>119</v>
      </c>
      <c r="G33" s="12" t="s">
        <v>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3" min="3" style="1" width="20"/>
    <col collapsed="false" customWidth="true" hidden="false" outlineLevel="0" max="4" min="4" style="1" width="22"/>
    <col collapsed="false" customWidth="true" hidden="false" outlineLevel="0" max="5" min="5" style="1" width="64"/>
    <col collapsed="false" customWidth="true" hidden="false" outlineLevel="0" max="6" min="6" style="1" width="16"/>
    <col collapsed="false" customWidth="true" hidden="false" outlineLevel="0" max="7" min="7" style="1" width="10"/>
    <col collapsed="false" customWidth="true" hidden="false" outlineLevel="0" max="8" min="8" style="1" width="52"/>
  </cols>
  <sheetData>
    <row r="1" customFormat="false" ht="17.25" hidden="false" customHeight="true" outlineLevel="0" collapsed="false">
      <c r="A1" s="2" t="s">
        <v>223</v>
      </c>
    </row>
    <row r="2" customFormat="false" ht="15" hidden="false" customHeight="true" outlineLevel="0" collapsed="false">
      <c r="A2" s="7" t="s">
        <v>224</v>
      </c>
      <c r="B2" s="7" t="s">
        <v>225</v>
      </c>
      <c r="C2" s="7" t="s">
        <v>226</v>
      </c>
      <c r="D2" s="7" t="s">
        <v>227</v>
      </c>
      <c r="E2" s="7" t="s">
        <v>228</v>
      </c>
      <c r="F2" s="7" t="s">
        <v>229</v>
      </c>
      <c r="G2" s="7" t="s">
        <v>230</v>
      </c>
      <c r="H2" s="7" t="s">
        <v>231</v>
      </c>
    </row>
    <row r="3" customFormat="false" ht="57.75" hidden="false" customHeight="true" outlineLevel="0" collapsed="false">
      <c r="A3" s="12" t="s">
        <v>232</v>
      </c>
      <c r="B3" s="12" t="s">
        <v>233</v>
      </c>
      <c r="C3" s="12" t="s">
        <v>234</v>
      </c>
      <c r="D3" s="12" t="s">
        <v>235</v>
      </c>
      <c r="E3" s="12" t="s">
        <v>236</v>
      </c>
      <c r="F3" s="11" t="s">
        <v>237</v>
      </c>
      <c r="G3" s="11" t="n">
        <f aca="false">SUMPRODUCT(--ISNUMBER(SEARCH("ALG-PS-01",'Scope &amp; Sequence'!$I$3:$I$7)))</f>
        <v>4</v>
      </c>
      <c r="H3" s="12" t="s">
        <v>238</v>
      </c>
    </row>
    <row r="4" customFormat="false" ht="57.75" hidden="false" customHeight="true" outlineLevel="0" collapsed="false">
      <c r="A4" s="12" t="s">
        <v>239</v>
      </c>
      <c r="B4" s="12" t="s">
        <v>233</v>
      </c>
      <c r="C4" s="12" t="s">
        <v>234</v>
      </c>
      <c r="D4" s="12" t="s">
        <v>240</v>
      </c>
      <c r="E4" s="12" t="s">
        <v>241</v>
      </c>
      <c r="F4" s="11" t="s">
        <v>242</v>
      </c>
      <c r="G4" s="11" t="n">
        <f aca="false">SUMPRODUCT(--ISNUMBER(SEARCH("ALG-IM-03",'Scope &amp; Sequence'!$I$3:$I$7)))</f>
        <v>1</v>
      </c>
      <c r="H4" s="12" t="s">
        <v>243</v>
      </c>
    </row>
    <row r="5" customFormat="false" ht="57.75" hidden="false" customHeight="true" outlineLevel="0" collapsed="false">
      <c r="A5" s="12" t="s">
        <v>244</v>
      </c>
      <c r="B5" s="12" t="s">
        <v>233</v>
      </c>
      <c r="C5" s="12" t="s">
        <v>245</v>
      </c>
      <c r="D5" s="12" t="s">
        <v>246</v>
      </c>
      <c r="E5" s="12" t="s">
        <v>247</v>
      </c>
      <c r="F5" s="11" t="s">
        <v>242</v>
      </c>
      <c r="G5" s="11" t="n">
        <f aca="false">SUMPRODUCT(--ISNUMBER(SEARCH("SYS-SE-13",'Scope &amp; Sequence'!$I$3:$I$7)))</f>
        <v>1</v>
      </c>
      <c r="H5" s="12" t="s">
        <v>248</v>
      </c>
    </row>
    <row r="6" customFormat="false" ht="57.75" hidden="false" customHeight="true" outlineLevel="0" collapsed="false">
      <c r="A6" s="20" t="s">
        <v>249</v>
      </c>
      <c r="B6" s="20" t="s">
        <v>250</v>
      </c>
      <c r="C6" s="12" t="s">
        <v>251</v>
      </c>
      <c r="D6" s="12" t="s">
        <v>252</v>
      </c>
      <c r="E6" s="12" t="s">
        <v>253</v>
      </c>
      <c r="F6" s="11" t="s">
        <v>254</v>
      </c>
      <c r="G6" s="11" t="n">
        <f aca="false">SUMPRODUCT(--ISNUMBER(SEARCH("PRO-PD",'Scope &amp; Sequence'!$I$3:$I$7)))</f>
        <v>5</v>
      </c>
      <c r="H6" s="12" t="s">
        <v>255</v>
      </c>
    </row>
    <row r="7" customFormat="false" ht="57.75" hidden="false" customHeight="true" outlineLevel="0" collapsed="false">
      <c r="A7" s="20" t="s">
        <v>256</v>
      </c>
      <c r="B7" s="20" t="s">
        <v>250</v>
      </c>
      <c r="C7" s="12" t="s">
        <v>251</v>
      </c>
      <c r="D7" s="12" t="s">
        <v>257</v>
      </c>
      <c r="E7" s="12" t="s">
        <v>258</v>
      </c>
      <c r="F7" s="11" t="s">
        <v>259</v>
      </c>
      <c r="G7" s="11" t="n">
        <f aca="false">SUMPRODUCT(--ISNUMBER(SEARCH("PRO-VD",'Scope &amp; Sequence'!$I$3:$I$7)))</f>
        <v>4</v>
      </c>
      <c r="H7" s="12" t="s">
        <v>260</v>
      </c>
    </row>
    <row r="8" customFormat="false" ht="57.75" hidden="false" customHeight="true" outlineLevel="0" collapsed="false">
      <c r="A8" s="20" t="s">
        <v>261</v>
      </c>
      <c r="B8" s="20" t="s">
        <v>250</v>
      </c>
      <c r="C8" s="12" t="s">
        <v>251</v>
      </c>
      <c r="D8" s="12" t="s">
        <v>262</v>
      </c>
      <c r="E8" s="12" t="s">
        <v>263</v>
      </c>
      <c r="F8" s="11" t="s">
        <v>264</v>
      </c>
      <c r="G8" s="11" t="n">
        <f aca="false">SUMPRODUCT(--ISNUMBER(SEARCH("PRO-RD",'Scope &amp; Sequence'!$I$3:$I$7)))</f>
        <v>2</v>
      </c>
      <c r="H8" s="12" t="s">
        <v>265</v>
      </c>
    </row>
    <row r="9" customFormat="false" ht="57.75" hidden="false" customHeight="true" outlineLevel="0" collapsed="false">
      <c r="A9" s="20" t="s">
        <v>266</v>
      </c>
      <c r="B9" s="20" t="s">
        <v>250</v>
      </c>
      <c r="C9" s="12" t="s">
        <v>251</v>
      </c>
      <c r="D9" s="12" t="s">
        <v>267</v>
      </c>
      <c r="E9" s="12" t="s">
        <v>268</v>
      </c>
      <c r="F9" s="11" t="s">
        <v>269</v>
      </c>
      <c r="G9" s="11" t="n">
        <f aca="false">SUMPRODUCT(--ISNUMBER(SEARCH("PRO-TR",'Scope &amp; Sequence'!$I$3:$I$7)))</f>
        <v>2</v>
      </c>
      <c r="H9" s="12" t="s">
        <v>270</v>
      </c>
    </row>
    <row r="10" customFormat="false" ht="57.75" hidden="false" customHeight="true" outlineLevel="0" collapsed="false">
      <c r="A10" s="13" t="s">
        <v>271</v>
      </c>
      <c r="B10" s="21" t="s">
        <v>272</v>
      </c>
    </row>
    <row r="11" customFormat="false" ht="27.75" hidden="false" customHeight="true" outlineLevel="0" collapsed="false">
      <c r="B11" s="22"/>
      <c r="C11" s="22"/>
      <c r="D11" s="22"/>
      <c r="E11" s="22"/>
      <c r="F11" s="22"/>
      <c r="G11" s="22"/>
      <c r="H11" s="22"/>
    </row>
    <row r="12" customFormat="false" ht="15" hidden="false" customHeight="false" outlineLevel="0" collapsed="false">
      <c r="A12" s="4" t="s">
        <v>273</v>
      </c>
    </row>
    <row r="13" customFormat="false" ht="15" hidden="false" customHeight="true" outlineLevel="0" collapsed="false">
      <c r="A13" s="10" t="s">
        <v>274</v>
      </c>
    </row>
    <row r="14" customFormat="false" ht="27.75" hidden="false" customHeight="true" outlineLevel="0" collapsed="false">
      <c r="A14" s="5" t="s">
        <v>275</v>
      </c>
      <c r="B14" s="5"/>
      <c r="C14" s="5"/>
      <c r="D14" s="5"/>
      <c r="E14" s="5"/>
      <c r="F14" s="5"/>
      <c r="G14" s="5"/>
      <c r="H14" s="5"/>
    </row>
    <row r="15" customFormat="false" ht="27.75" hidden="false" customHeight="true" outlineLevel="0" collapsed="false">
      <c r="A15" s="5" t="s">
        <v>276</v>
      </c>
      <c r="B15" s="5"/>
      <c r="C15" s="5"/>
      <c r="D15" s="5"/>
      <c r="E15" s="5"/>
      <c r="F15" s="5"/>
      <c r="G15" s="5"/>
      <c r="H15" s="5"/>
    </row>
    <row r="16" customFormat="false" ht="27.75" hidden="false" customHeight="true" outlineLevel="0" collapsed="false">
      <c r="A16" s="5" t="s">
        <v>277</v>
      </c>
      <c r="B16" s="5"/>
      <c r="C16" s="5"/>
      <c r="D16" s="5"/>
      <c r="E16" s="5"/>
      <c r="F16" s="5"/>
      <c r="G16" s="5"/>
      <c r="H16" s="5"/>
    </row>
    <row r="18" customFormat="false" ht="30" hidden="false" customHeight="true" outlineLevel="0" collapsed="false">
      <c r="A18" s="3" t="s">
        <v>278</v>
      </c>
      <c r="B18" s="3"/>
      <c r="C18" s="3"/>
      <c r="D18" s="3"/>
      <c r="E18" s="3"/>
      <c r="F18" s="3"/>
      <c r="G18" s="3"/>
      <c r="H18" s="3"/>
    </row>
  </sheetData>
  <mergeCells count="5">
    <mergeCell ref="B11:H11"/>
    <mergeCell ref="A14:H14"/>
    <mergeCell ref="A15:H15"/>
    <mergeCell ref="A16:H16"/>
    <mergeCell ref="A18: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46"/>
    <col collapsed="false" customWidth="true" hidden="false" outlineLevel="0" max="4" min="4" style="1" width="42"/>
    <col collapsed="false" customWidth="true" hidden="false" outlineLevel="0" max="6" min="5" style="1" width="44"/>
  </cols>
  <sheetData>
    <row r="1" customFormat="false" ht="17.25" hidden="false" customHeight="true" outlineLevel="0" collapsed="false">
      <c r="A1" s="2" t="s">
        <v>279</v>
      </c>
    </row>
    <row r="2" customFormat="false" ht="15" hidden="false" customHeight="true" outlineLevel="0" collapsed="false">
      <c r="A2" s="7" t="s">
        <v>39</v>
      </c>
      <c r="B2" s="7" t="s">
        <v>280</v>
      </c>
      <c r="C2" s="7" t="s">
        <v>281</v>
      </c>
      <c r="D2" s="7" t="s">
        <v>282</v>
      </c>
      <c r="E2" s="7" t="s">
        <v>283</v>
      </c>
      <c r="F2" s="7" t="s">
        <v>284</v>
      </c>
    </row>
    <row r="3" customFormat="false" ht="43.5" hidden="false" customHeight="true" outlineLevel="0" collapsed="false">
      <c r="A3" s="11" t="n">
        <v>1</v>
      </c>
      <c r="B3" s="12" t="s">
        <v>285</v>
      </c>
      <c r="C3" s="12" t="s">
        <v>286</v>
      </c>
      <c r="D3" s="12" t="s">
        <v>287</v>
      </c>
      <c r="E3" s="12" t="s">
        <v>288</v>
      </c>
      <c r="F3" s="12" t="s">
        <v>289</v>
      </c>
    </row>
    <row r="4" customFormat="false" ht="43.5" hidden="false" customHeight="true" outlineLevel="0" collapsed="false">
      <c r="A4" s="11" t="n">
        <v>1</v>
      </c>
      <c r="B4" s="12" t="s">
        <v>290</v>
      </c>
      <c r="C4" s="12" t="s">
        <v>291</v>
      </c>
      <c r="D4" s="12" t="s">
        <v>292</v>
      </c>
      <c r="E4" s="12" t="s">
        <v>293</v>
      </c>
      <c r="F4" s="12" t="s">
        <v>294</v>
      </c>
    </row>
    <row r="5" customFormat="false" ht="43.5" hidden="false" customHeight="true" outlineLevel="0" collapsed="false">
      <c r="A5" s="11" t="n">
        <v>1</v>
      </c>
      <c r="B5" s="12" t="s">
        <v>295</v>
      </c>
      <c r="C5" s="12" t="s">
        <v>296</v>
      </c>
      <c r="D5" s="12" t="s">
        <v>297</v>
      </c>
      <c r="E5" s="12" t="s">
        <v>298</v>
      </c>
      <c r="F5" s="12" t="s">
        <v>299</v>
      </c>
    </row>
    <row r="6" customFormat="false" ht="43.5" hidden="false" customHeight="true" outlineLevel="0" collapsed="false">
      <c r="A6" s="11" t="n">
        <v>2</v>
      </c>
      <c r="B6" s="12" t="s">
        <v>300</v>
      </c>
      <c r="C6" s="12" t="s">
        <v>301</v>
      </c>
      <c r="D6" s="12" t="s">
        <v>302</v>
      </c>
      <c r="E6" s="12" t="s">
        <v>303</v>
      </c>
      <c r="F6" s="12" t="s">
        <v>304</v>
      </c>
    </row>
    <row r="7" customFormat="false" ht="43.5" hidden="false" customHeight="true" outlineLevel="0" collapsed="false">
      <c r="A7" s="11" t="n">
        <v>2</v>
      </c>
      <c r="B7" s="12" t="s">
        <v>305</v>
      </c>
      <c r="C7" s="12" t="s">
        <v>306</v>
      </c>
      <c r="D7" s="12" t="s">
        <v>307</v>
      </c>
      <c r="E7" s="12" t="s">
        <v>308</v>
      </c>
      <c r="F7" s="12" t="s">
        <v>309</v>
      </c>
    </row>
    <row r="8" customFormat="false" ht="43.5" hidden="false" customHeight="true" outlineLevel="0" collapsed="false">
      <c r="A8" s="11" t="n">
        <v>3</v>
      </c>
      <c r="B8" s="12" t="s">
        <v>310</v>
      </c>
      <c r="C8" s="12" t="s">
        <v>311</v>
      </c>
      <c r="D8" s="12" t="s">
        <v>312</v>
      </c>
      <c r="E8" s="12" t="s">
        <v>313</v>
      </c>
      <c r="F8" s="12" t="s">
        <v>314</v>
      </c>
    </row>
    <row r="9" customFormat="false" ht="43.5" hidden="false" customHeight="true" outlineLevel="0" collapsed="false">
      <c r="A9" s="11" t="n">
        <v>3</v>
      </c>
      <c r="B9" s="12" t="s">
        <v>315</v>
      </c>
      <c r="C9" s="12" t="s">
        <v>316</v>
      </c>
      <c r="D9" s="12" t="s">
        <v>317</v>
      </c>
      <c r="E9" s="12" t="s">
        <v>318</v>
      </c>
      <c r="F9" s="12" t="s">
        <v>319</v>
      </c>
    </row>
    <row r="10" customFormat="false" ht="43.5" hidden="false" customHeight="true" outlineLevel="0" collapsed="false">
      <c r="A10" s="11" t="n">
        <v>3</v>
      </c>
      <c r="B10" s="12" t="s">
        <v>320</v>
      </c>
      <c r="C10" s="12" t="s">
        <v>321</v>
      </c>
      <c r="D10" s="12" t="s">
        <v>322</v>
      </c>
      <c r="E10" s="12" t="s">
        <v>323</v>
      </c>
      <c r="F10" s="12" t="s">
        <v>324</v>
      </c>
    </row>
    <row r="11" customFormat="false" ht="43.5" hidden="false" customHeight="true" outlineLevel="0" collapsed="false">
      <c r="A11" s="11" t="n">
        <v>3</v>
      </c>
      <c r="B11" s="12" t="s">
        <v>325</v>
      </c>
      <c r="C11" s="12" t="s">
        <v>326</v>
      </c>
      <c r="D11" s="12" t="s">
        <v>327</v>
      </c>
      <c r="E11" s="12" t="s">
        <v>328</v>
      </c>
      <c r="F11" s="12" t="s">
        <v>329</v>
      </c>
    </row>
    <row r="12" customFormat="false" ht="43.5" hidden="false" customHeight="true" outlineLevel="0" collapsed="false">
      <c r="A12" s="11" t="s">
        <v>330</v>
      </c>
      <c r="B12" s="12" t="s">
        <v>331</v>
      </c>
      <c r="C12" s="12" t="s">
        <v>332</v>
      </c>
      <c r="D12" s="12" t="s">
        <v>333</v>
      </c>
      <c r="E12" s="12" t="s">
        <v>334</v>
      </c>
      <c r="F12" s="12" t="s">
        <v>335</v>
      </c>
    </row>
    <row r="13" customFormat="false" ht="43.5" hidden="false" customHeight="true" outlineLevel="0" collapsed="false">
      <c r="A13" s="11" t="n">
        <v>4</v>
      </c>
      <c r="B13" s="12" t="s">
        <v>336</v>
      </c>
      <c r="C13" s="12" t="s">
        <v>337</v>
      </c>
      <c r="D13" s="12" t="s">
        <v>338</v>
      </c>
      <c r="E13" s="12" t="s">
        <v>339</v>
      </c>
      <c r="F13" s="12" t="s">
        <v>340</v>
      </c>
    </row>
    <row r="14" customFormat="false" ht="43.5" hidden="false" customHeight="true" outlineLevel="0" collapsed="false">
      <c r="A14" s="11" t="n">
        <v>4</v>
      </c>
      <c r="B14" s="12" t="s">
        <v>341</v>
      </c>
      <c r="C14" s="12" t="s">
        <v>342</v>
      </c>
      <c r="D14" s="12" t="s">
        <v>343</v>
      </c>
      <c r="E14" s="12" t="s">
        <v>344</v>
      </c>
      <c r="F14" s="12" t="s">
        <v>345</v>
      </c>
    </row>
    <row r="15" customFormat="false" ht="23.25" hidden="false" customHeight="true" outlineLevel="0" collapsed="false">
      <c r="A15" s="11" t="n">
        <v>5</v>
      </c>
      <c r="B15" s="12" t="s">
        <v>346</v>
      </c>
      <c r="C15" s="12" t="s">
        <v>347</v>
      </c>
      <c r="D15" s="12" t="s">
        <v>348</v>
      </c>
      <c r="E15" s="12" t="s">
        <v>349</v>
      </c>
      <c r="F15" s="12" t="s">
        <v>350</v>
      </c>
    </row>
    <row r="16" customFormat="false" ht="23.85" hidden="false" customHeight="false" outlineLevel="0" collapsed="false">
      <c r="A16" s="11" t="n">
        <v>5</v>
      </c>
      <c r="B16" s="12" t="s">
        <v>351</v>
      </c>
      <c r="C16" s="12" t="s">
        <v>352</v>
      </c>
      <c r="D16" s="12" t="s">
        <v>353</v>
      </c>
      <c r="E16" s="12" t="s">
        <v>354</v>
      </c>
      <c r="F16" s="12" t="s">
        <v>355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42"/>
    <col collapsed="false" customWidth="true" hidden="false" outlineLevel="0" max="4" min="4" style="1" width="46"/>
    <col collapsed="false" customWidth="true" hidden="false" outlineLevel="0" max="5" min="5" style="1" width="48"/>
  </cols>
  <sheetData>
    <row r="1" customFormat="false" ht="17.25" hidden="false" customHeight="true" outlineLevel="0" collapsed="false">
      <c r="A1" s="2" t="s">
        <v>356</v>
      </c>
    </row>
    <row r="3" customFormat="false" ht="15" hidden="false" customHeight="true" outlineLevel="0" collapsed="false">
      <c r="A3" s="4" t="s">
        <v>357</v>
      </c>
    </row>
    <row r="4" customFormat="false" ht="15" hidden="false" customHeight="true" outlineLevel="0" collapsed="false">
      <c r="A4" s="7" t="s">
        <v>358</v>
      </c>
      <c r="B4" s="7" t="s">
        <v>359</v>
      </c>
      <c r="C4" s="7" t="s">
        <v>360</v>
      </c>
      <c r="D4" s="7" t="s">
        <v>361</v>
      </c>
      <c r="E4" s="7" t="s">
        <v>362</v>
      </c>
    </row>
    <row r="5" customFormat="false" ht="39.75" hidden="false" customHeight="true" outlineLevel="0" collapsed="false">
      <c r="A5" s="23" t="s">
        <v>363</v>
      </c>
      <c r="B5" s="12" t="s">
        <v>364</v>
      </c>
      <c r="C5" s="12" t="s">
        <v>365</v>
      </c>
      <c r="D5" s="12" t="s">
        <v>366</v>
      </c>
      <c r="E5" s="12" t="s">
        <v>367</v>
      </c>
    </row>
    <row r="6" customFormat="false" ht="39.75" hidden="false" customHeight="true" outlineLevel="0" collapsed="false">
      <c r="A6" s="23" t="s">
        <v>368</v>
      </c>
      <c r="B6" s="12" t="s">
        <v>369</v>
      </c>
      <c r="C6" s="12" t="s">
        <v>370</v>
      </c>
      <c r="D6" s="12" t="s">
        <v>371</v>
      </c>
      <c r="E6" s="12" t="s">
        <v>372</v>
      </c>
    </row>
    <row r="7" customFormat="false" ht="39.75" hidden="false" customHeight="true" outlineLevel="0" collapsed="false">
      <c r="A7" s="23" t="s">
        <v>373</v>
      </c>
      <c r="B7" s="12" t="s">
        <v>374</v>
      </c>
      <c r="C7" s="12" t="s">
        <v>375</v>
      </c>
      <c r="D7" s="12" t="s">
        <v>376</v>
      </c>
      <c r="E7" s="12" t="s">
        <v>377</v>
      </c>
    </row>
    <row r="8" customFormat="false" ht="39.75" hidden="false" customHeight="true" outlineLevel="0" collapsed="false">
      <c r="A8" s="23" t="s">
        <v>378</v>
      </c>
      <c r="B8" s="12" t="s">
        <v>379</v>
      </c>
      <c r="C8" s="12" t="s">
        <v>380</v>
      </c>
      <c r="D8" s="12" t="s">
        <v>381</v>
      </c>
      <c r="E8" s="12" t="s">
        <v>382</v>
      </c>
    </row>
    <row r="9" customFormat="false" ht="39.75" hidden="false" customHeight="true" outlineLevel="0" collapsed="false">
      <c r="A9" s="23" t="s">
        <v>383</v>
      </c>
      <c r="B9" s="12" t="s">
        <v>384</v>
      </c>
      <c r="C9" s="12" t="s">
        <v>385</v>
      </c>
      <c r="D9" s="12" t="s">
        <v>386</v>
      </c>
      <c r="E9" s="12" t="s">
        <v>387</v>
      </c>
    </row>
    <row r="11" customFormat="false" ht="15" hidden="false" customHeight="true" outlineLevel="0" collapsed="false">
      <c r="A11" s="4" t="s">
        <v>388</v>
      </c>
    </row>
    <row r="12" customFormat="false" ht="42" hidden="false" customHeight="true" outlineLevel="0" collapsed="false">
      <c r="A12" s="5" t="s">
        <v>389</v>
      </c>
      <c r="B12" s="5"/>
      <c r="C12" s="5"/>
      <c r="D12" s="5"/>
      <c r="E12" s="5"/>
    </row>
    <row r="13" customFormat="false" ht="42" hidden="false" customHeight="true" outlineLevel="0" collapsed="false">
      <c r="A13" s="5" t="s">
        <v>390</v>
      </c>
      <c r="B13" s="5"/>
      <c r="C13" s="5"/>
      <c r="D13" s="5"/>
      <c r="E13" s="5"/>
    </row>
    <row r="14" customFormat="false" ht="42" hidden="false" customHeight="true" outlineLevel="0" collapsed="false">
      <c r="A14" s="5" t="s">
        <v>391</v>
      </c>
      <c r="B14" s="5"/>
      <c r="C14" s="5"/>
      <c r="D14" s="5"/>
      <c r="E14" s="5"/>
    </row>
    <row r="15" customFormat="false" ht="42" hidden="false" customHeight="true" outlineLevel="0" collapsed="false">
      <c r="A15" s="5" t="s">
        <v>392</v>
      </c>
      <c r="B15" s="5"/>
      <c r="C15" s="5"/>
      <c r="D15" s="5"/>
      <c r="E15" s="5"/>
    </row>
    <row r="16" customFormat="false" ht="42" hidden="false" customHeight="true" outlineLevel="0" collapsed="false">
      <c r="A16" s="5" t="s">
        <v>393</v>
      </c>
      <c r="B16" s="5"/>
      <c r="C16" s="5"/>
      <c r="D16" s="5"/>
      <c r="E16" s="5"/>
    </row>
  </sheetData>
  <mergeCells count="5">
    <mergeCell ref="A12:E12"/>
    <mergeCell ref="A13:E13"/>
    <mergeCell ref="A14:E14"/>
    <mergeCell ref="A15:E15"/>
    <mergeCell ref="A16: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2026-07-23T18:49:26Z</dcterms:created>
  <dc:creator>openpyxl</dc:creator>
  <dc:description/>
  <dc:language>en-US</dc:language>
  <cp:lastModifiedBy/>
  <dcterms:modified xsi:type="dcterms:W3CDTF">2026-07-25T19:32:51Z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